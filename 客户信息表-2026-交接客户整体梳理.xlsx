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赵诗怡交接客户" sheetId="1" r:id="rId1"/>
    <sheet name="星星交接客户" sheetId="3" r:id="rId2"/>
  </sheets>
  <definedNames>
    <definedName name="_xlnm._FilterDatabase" localSheetId="0" hidden="1">赵诗怡交接客户!$A$1:$AG$31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<sst xmlns="http://schemas.openxmlformats.org/spreadsheetml/2006/main" count="508" uniqueCount="333">
  <si>
    <t>顺序</t>
  </si>
  <si>
    <t>客户名称</t>
  </si>
  <si>
    <t>一句话总结</t>
  </si>
  <si>
    <t>销售模式</t>
  </si>
  <si>
    <t>客户等级</t>
  </si>
  <si>
    <t>客户类型</t>
  </si>
  <si>
    <t>公司人数规模</t>
  </si>
  <si>
    <t>公司业务概况</t>
  </si>
  <si>
    <t>拜访地址</t>
  </si>
  <si>
    <t>客户联系人</t>
  </si>
  <si>
    <t>客户联系方式</t>
  </si>
  <si>
    <t>对应销售</t>
  </si>
  <si>
    <t>服务群</t>
  </si>
  <si>
    <t>产品版本</t>
  </si>
  <si>
    <t>私有化/分析云</t>
  </si>
  <si>
    <t>机器配置</t>
  </si>
  <si>
    <t>增值模块</t>
  </si>
  <si>
    <t>买断/年费</t>
  </si>
  <si>
    <t>客户账号数</t>
  </si>
  <si>
    <t>云巡检</t>
  </si>
  <si>
    <t>合作金额</t>
  </si>
  <si>
    <t>首次签约时间</t>
  </si>
  <si>
    <t>最近合同的到期时间</t>
  </si>
  <si>
    <t>最近一次合同金额</t>
  </si>
  <si>
    <t>后续年金额</t>
  </si>
  <si>
    <t>等价ARR</t>
  </si>
  <si>
    <t>KP联系方式</t>
  </si>
  <si>
    <t>跟进记录（6月5日）</t>
  </si>
  <si>
    <t>需求</t>
  </si>
  <si>
    <t>跟进记录（6.26邀约）</t>
  </si>
  <si>
    <t>具体人物</t>
  </si>
  <si>
    <t>是否已拜访</t>
  </si>
  <si>
    <t>拜访日期</t>
  </si>
  <si>
    <t>安徽德力日用玻璃股份有限公司</t>
  </si>
  <si>
    <t>销售独，续约久，挖增购</t>
  </si>
  <si>
    <t>独立经营</t>
  </si>
  <si>
    <t>长尾客群</t>
  </si>
  <si>
    <t>山猫客户</t>
  </si>
  <si>
    <t>近4000人</t>
  </si>
  <si>
    <t>亚太最大日用玻璃制造商、行业龙头，研发生产销售一体化，核心品类玻璃杯壶餐盘水晶器皿光伏玻璃等</t>
  </si>
  <si>
    <t>上市公司，总部在安徽凤阳</t>
  </si>
  <si>
    <t>未知</t>
  </si>
  <si>
    <t>余圣佳名下
吕俊套壳在跟</t>
  </si>
  <si>
    <t>微信群</t>
  </si>
  <si>
    <t>V7.4</t>
  </si>
  <si>
    <t>私有化</t>
  </si>
  <si>
    <t>/</t>
  </si>
  <si>
    <t>自助取数；移动端应用/门户；数据大屏；桌面端应用/门户；中国式报表pro；数据脱敏；数据回写；智能etl</t>
  </si>
  <si>
    <t>买断</t>
  </si>
  <si>
    <t>不限用户数</t>
  </si>
  <si>
    <t>已开通</t>
  </si>
  <si>
    <t>一直没验收，且验收后首年的运维费是赠送的</t>
  </si>
  <si>
    <t>郝朝庆小领导-核心先联系这个；
曹国兴小组长</t>
  </si>
  <si>
    <t>说是有两笔款没有回，需要和销售跟进一下；现在还没验收；吕俊有点独，需要多跟客户侧接触下</t>
  </si>
  <si>
    <t>郝朝庆</t>
  </si>
  <si>
    <t>否</t>
  </si>
  <si>
    <t>永安期货股份有限公司</t>
  </si>
  <si>
    <t>联合经营</t>
  </si>
  <si>
    <t>1000-2000人</t>
  </si>
  <si>
    <t>国内期货行业绝对龙头，衍生品投行，深耕大宗商品与金融衍生品</t>
  </si>
  <si>
    <t>上城区华峰国际商务中心，杭州市民中心边上</t>
  </si>
  <si>
    <t>王明</t>
  </si>
  <si>
    <t>BI-常规-私有化</t>
  </si>
  <si>
    <t>中国式报表Pro，表单填报，数据脱敏，10-50</t>
  </si>
  <si>
    <t>开通/内网</t>
  </si>
  <si>
    <t>未知，未交接</t>
  </si>
  <si>
    <t>0317流程中，因为有渠道所以流程很慢</t>
  </si>
  <si>
    <t>群里一大堆人还都是企微</t>
  </si>
  <si>
    <t>杭州灸春堂品牌管理有限责任公司</t>
  </si>
  <si>
    <t>500-999人</t>
  </si>
  <si>
    <t>高端古法艾灸连锁、江浙沪头部品牌，40+直营门店</t>
  </si>
  <si>
    <t>拱墅区朝晖路222号</t>
  </si>
  <si>
    <t>褚薇</t>
  </si>
  <si>
    <t>BI-常规-私有化-订阅制</t>
  </si>
  <si>
    <t>按照cu购买 8c64g 中国式报表pro、表单填报、自助取数、数据回写</t>
  </si>
  <si>
    <t>年费</t>
  </si>
  <si>
    <t>开通/自动</t>
  </si>
  <si>
    <t>蔡  
15757101755
caibaiyun@jiuchuntang.cn👌</t>
  </si>
  <si>
    <t>谭礼锐-企微</t>
  </si>
  <si>
    <t>桔籽智能家居有限公司（青橘家居）</t>
  </si>
  <si>
    <t>刚续约，需建联，挖增购，</t>
  </si>
  <si>
    <t>100-200人</t>
  </si>
  <si>
    <t>智能家居浴室柜细分赛道工贸一体，研发+生产+电商销售，核心品类：智能浴室柜、板式浴室柜、卫浴镜、卫浴五金，主打轻奢简约风</t>
  </si>
  <si>
    <t>总部在绍兴、电商在杭州</t>
  </si>
  <si>
    <t>郭金莲</t>
  </si>
  <si>
    <t>057587658765</t>
  </si>
  <si>
    <t>华为云</t>
  </si>
  <si>
    <t>8核64G</t>
  </si>
  <si>
    <t>中国式报表Pro，表单填报，1-43</t>
  </si>
  <si>
    <t>1个编辑，42个只读</t>
  </si>
  <si>
    <t>阿不1432229432@qq.com👌</t>
  </si>
  <si>
    <t>赵诗怡续约已完成
绍兴是工厂、滨江是电商团队，最近刚刚更换了制造系统，比较忙，没空，后面再约。</t>
  </si>
  <si>
    <t>没答应来，看直播</t>
  </si>
  <si>
    <t>阿不；三年；</t>
  </si>
  <si>
    <t>宁波弥鹿网络科技有限公司</t>
  </si>
  <si>
    <t>跟续约，挖需求，需建联</t>
  </si>
  <si>
    <t>腰部客群</t>
  </si>
  <si>
    <t>集研发设计、制造与销售于一体。主要产品包括益智拼图、艺术绘画工具、儿童绘本及各类启发式玩具。</t>
  </si>
  <si>
    <t>宁波</t>
  </si>
  <si>
    <t>刘小姐</t>
  </si>
  <si>
    <t>杨昕露</t>
  </si>
  <si>
    <t>V</t>
  </si>
  <si>
    <t>阿里云</t>
  </si>
  <si>
    <t>8C64G</t>
  </si>
  <si>
    <t>表格填报，中国式报表pro，数据回写，自助取数，智能etl</t>
  </si>
  <si>
    <t>2个编辑，19个只读</t>
  </si>
  <si>
    <t>鱼鱼是coo，KP，核心用户看板消费者，远方sum，核心用户编辑1月刚入职（续约沟通）晴晴运营，汇报给COO，每年维保费</t>
  </si>
  <si>
    <t xml:space="preserve">
找了技术支持拉群；续约维保中，客户在审合同；内部走了报价和合同以及发票申请</t>
  </si>
  <si>
    <t>邀约了sum，客户未回复</t>
  </si>
  <si>
    <t>良辰，鱼鱼</t>
  </si>
  <si>
    <t>杭州每刻科技有限公司</t>
  </si>
  <si>
    <t>沟通顺畅，销售在续约中</t>
  </si>
  <si>
    <t>200-500人</t>
  </si>
  <si>
    <t>业务财税数据一体化+智能财务共享云平台：
每刻报销；每刻档案；每刻云票，每刻BI等等</t>
  </si>
  <si>
    <t>浙江省杭州市钱塘区万晶湖畔中心西区2幢1501室</t>
  </si>
  <si>
    <t>昕璐</t>
  </si>
  <si>
    <t>微信群*2</t>
  </si>
  <si>
    <t>表格填报、大屏、移动端、桌面端、中国式报表、表单填报、登录页自定义、数据回写  10-10000</t>
  </si>
  <si>
    <t>暂未</t>
  </si>
  <si>
    <t>李翔    lixiang@maycur.com👌</t>
  </si>
  <si>
    <t>内存配置过小</t>
  </si>
  <si>
    <t>产品经理祝欣怡，IT总李翔</t>
  </si>
  <si>
    <t>宁波高山数智文化科技股份有限公司</t>
  </si>
  <si>
    <t>沟通正常</t>
  </si>
  <si>
    <t>聚焦儿童玩学及消费领域，以数据技术驱动，提供研发设计销售及供应链全流程服务；深耕欧美与国内市场</t>
  </si>
  <si>
    <t>宁波高新科技广场</t>
  </si>
  <si>
    <t>飞书群</t>
  </si>
  <si>
    <t>中国式报表Pro、表单填报、数据脱敏、50-200</t>
  </si>
  <si>
    <t>王总 
18968315577  k.wang@nbparamont.com👌
嘉奇（大数据中心总监）
jiaqi.zhu@nbparamont.com👌</t>
  </si>
  <si>
    <t>朱嘉奇；王总</t>
  </si>
  <si>
    <t>杭州宇同网络科技有限公司（AKF 适合）</t>
  </si>
  <si>
    <t>100人</t>
  </si>
  <si>
    <t>品牌代理公司，做品牌管理和市场营销，如AKF，适合等品牌</t>
  </si>
  <si>
    <t>杭州滨江恒鼎大厦16楼</t>
  </si>
  <si>
    <t>移动端应用、门户，数据大屏（5），中国式报表Pro，表单填报，数据脱敏、数据回写，不限用户</t>
  </si>
  <si>
    <t>吴伟 wuwei@shiheglobal.com👌
13951873186
黄波huangbo@shiheglobal.com👌</t>
  </si>
  <si>
    <t>尝试联系，尚未通过；
客户找了ann，勇哥同步在跟</t>
  </si>
  <si>
    <t>杭州健海科技有限公司</t>
  </si>
  <si>
    <t>群无消息，回复少，流失风险</t>
  </si>
  <si>
    <t>100人左右</t>
  </si>
  <si>
    <t>互联网+诊后疾病管理</t>
  </si>
  <si>
    <t>西湖区天堂软件园</t>
  </si>
  <si>
    <t>李银平</t>
  </si>
  <si>
    <t>V7.2</t>
  </si>
  <si>
    <t>16C128G</t>
  </si>
  <si>
    <t>中国式报表、复杂报表、登录页自定义、自助取数、智能etl</t>
  </si>
  <si>
    <t>3个编辑，17个只读</t>
  </si>
  <si>
    <t>对接人琳纸业务侧续约对接人；前进数据分析师（i人无话语权），蒋工运维；袁佰军，it流程侧审批人，支持者，架构变动灵活，去年是叶总；</t>
  </si>
  <si>
    <t>看了下跟进记录，之前都是星星跟进的，26年1月说是有流失风险了，自此没有过跟进记录了；数据分析师前进说最近比较忙，下个月再说，袁佰军加微信一直不通过，蒋工说没怎么关注过这个业务。群里进行了下周五的现场workshop的邀约</t>
  </si>
  <si>
    <t>从飞书换到了钉钉，关注钉钉相关优化项，8.1稳定后升级，钉钉ai表格接入；</t>
  </si>
  <si>
    <t>袁佰军再次加微信加不上</t>
  </si>
  <si>
    <t>前进和蒋工已加上，琳纸说自己离职了，让后续找袁百军，加微信一直没通过</t>
  </si>
  <si>
    <t>杭州蓝昕服饰科技有限公司</t>
  </si>
  <si>
    <t>金牛客户</t>
  </si>
  <si>
    <t>100-499人</t>
  </si>
  <si>
    <t>本土快时尚女装品牌</t>
  </si>
  <si>
    <t>浙江杭州市滨江区 王道公园1幢 235</t>
  </si>
  <si>
    <t>许真</t>
  </si>
  <si>
    <t>移动端、桌面端、中国式报表、表单填报、登录页自定义、数据回写  8-50</t>
  </si>
  <si>
    <t>8个编辑，42个只读</t>
  </si>
  <si>
    <t>戴炎峰  929202437@qq.com👌</t>
  </si>
  <si>
    <t>群里很久没有消息了，联系说过两天，但是也没说啥时候有空，需要持续跟进下；6月5日再次说拜访无果，发workshop无果</t>
  </si>
  <si>
    <t>戴炎峰</t>
  </si>
  <si>
    <t>杭州索益网络科技有限公司（生财有术）</t>
  </si>
  <si>
    <t>刚迁移，需建联，挖需求</t>
  </si>
  <si>
    <t>瘦狗客户</t>
  </si>
  <si>
    <t>50-99人</t>
  </si>
  <si>
    <t>生财有术:AI创业教育平台</t>
  </si>
  <si>
    <t>浙江省杭州市余杭区仓前街道欧美金融城4幢3801室-1</t>
  </si>
  <si>
    <t>无</t>
  </si>
  <si>
    <t>V8.2</t>
  </si>
  <si>
    <t>数据回写 1-8</t>
  </si>
  <si>
    <t>胡纪钟13841911292
jizhong@shengcaiyoushu.com👌</t>
  </si>
  <si>
    <t>客户侧刚刚做了迁移，说是新的负责人有变化，等新人到岗后再进行现场沟通，下周再跟进下</t>
  </si>
  <si>
    <t>胡纪钟，胡老师</t>
  </si>
  <si>
    <t>杭州均冠信息技术有限公司</t>
  </si>
  <si>
    <t>跨境电商，专注汽配类目，EBAY大中华区前50强</t>
  </si>
  <si>
    <t>拱墅区中大银泰城4幢1416室</t>
  </si>
  <si>
    <t>陈帅</t>
  </si>
  <si>
    <t>钉钉群</t>
  </si>
  <si>
    <t>BI基础包、ETL  3-33</t>
  </si>
  <si>
    <t>许炜峰</t>
  </si>
  <si>
    <t>蔡英亮；许炜峰</t>
  </si>
  <si>
    <t>浙江珂楹实业有限公司（芭蒂娜）</t>
  </si>
  <si>
    <t>已建联，，需持续联系</t>
  </si>
  <si>
    <t>1000-9999人</t>
  </si>
  <si>
    <t>大型民营服装集团有限公司中高档女装集团，连衣裙细分龙头，国家连衣裙标准定制者之一， 旗下品牌芭蒂娜、卡拉佛等等</t>
  </si>
  <si>
    <t>杭州市临平区临平迎宾路与永乐街交叉品艺尚中心8号楼</t>
  </si>
  <si>
    <t>V6.6</t>
  </si>
  <si>
    <t>复杂报表、表单填报、数据大屏、桌面端应用、门户, 移动端应用、门户、实时数据引擎  不限</t>
  </si>
  <si>
    <t>王伟CIO:17098078182;    王伟wangwei@nl89.cn👌
余挺(分析师) yuting190108@nl89.cn 👌</t>
  </si>
  <si>
    <t>5年的老客户了，去年提了15%的降价，由38500变成了35000；</t>
  </si>
  <si>
    <t>王伟；余挺</t>
  </si>
  <si>
    <t>杭州日冠服饰有限公司（戴维贝拉）</t>
  </si>
  <si>
    <t>触竞品，性能慢，需关注</t>
  </si>
  <si>
    <t>国内头部高端婴童装，戴维贝拉连续多年天猫双11童装TOP2</t>
  </si>
  <si>
    <t>滨江区聚业路26号C座</t>
  </si>
  <si>
    <t>BI-常规-分析云-订阅制</t>
  </si>
  <si>
    <t>3-18（均指总）</t>
  </si>
  <si>
    <t>订阅</t>
  </si>
  <si>
    <t>朱家豪 13758170167
654678871@qq.com👌</t>
  </si>
  <si>
    <t>1数据回写
2纵向扩容</t>
  </si>
  <si>
    <t>吴经理；IT邓汤敏</t>
  </si>
  <si>
    <t>是</t>
  </si>
  <si>
    <t>杭州物鸣家居用品有限公司</t>
  </si>
  <si>
    <t>已建联，但未果，需持续联系</t>
  </si>
  <si>
    <t>设计驱动型家居品牌</t>
  </si>
  <si>
    <t>上城区东站杭州之翼</t>
  </si>
  <si>
    <t>小川川</t>
  </si>
  <si>
    <t>杭州原极品牌管理有限公司（花间堂）</t>
  </si>
  <si>
    <t>潜力有，但不大，需深挖</t>
  </si>
  <si>
    <t>核心品牌花间堂，主打平价美妆+护肤+日化集合店，客单价50-200元</t>
  </si>
  <si>
    <t>杭州滨江滨盛路1777号萧宏大厦24楼</t>
  </si>
  <si>
    <t>登录页自定义、移动轻应用110-200</t>
  </si>
  <si>
    <t>尹总，18806713083，1721184722@qq.com👌</t>
  </si>
  <si>
    <t>产品经理欧阳立</t>
  </si>
  <si>
    <t>5.12 14:00</t>
  </si>
  <si>
    <t>浙江博观瑞思科技有限公司</t>
  </si>
  <si>
    <t>全域电商代运营+数字营销技术公司，聚焦抖音/兴趣电商，王牌客户雅诗兰黛五粮液斯凯奇阿迪达斯美的等</t>
  </si>
  <si>
    <t>临平区南苑街道迎宾路517号</t>
  </si>
  <si>
    <t>表格填报、桌面端、中国式报表Pro、表单填报、 数据回写 6-24</t>
  </si>
  <si>
    <t>daiciwei；徐琪；谁来剪月光</t>
  </si>
  <si>
    <t>杭州杭歌国际贸易有限公司</t>
  </si>
  <si>
    <t>好沟通，试用中，需跟踪</t>
  </si>
  <si>
    <t>跨境电电商外贸公司（户外家具为主）+B2B外贸</t>
  </si>
  <si>
    <t>杭州市滨江区盛大科技园星巴克楼上2楼</t>
  </si>
  <si>
    <t>表格填报、桌面端、中国式报表Pro、表单填报、 
数据脱敏、 数据回写 3-63</t>
  </si>
  <si>
    <t>客户张启宝说不确定，届时再看</t>
  </si>
  <si>
    <t>IT部负责人 张启宝</t>
  </si>
  <si>
    <t>杭州酷驴文化传媒有限公司</t>
  </si>
  <si>
    <t>20-99人</t>
  </si>
  <si>
    <t>淘宝直播/短视频/逛逛、抖音代运营、小红书广告代理；自营+签约达人200+</t>
  </si>
  <si>
    <t>杭州市滨江区西兴街道滨康路海威大厦14楼</t>
  </si>
  <si>
    <t>表格填报、桌面端、中国式报表Pro、表单填报、 数据回写 3-33</t>
  </si>
  <si>
    <t>客户ellen说不确定，到时候可以安排其他人，建议客户先报名了，应该是报名了</t>
  </si>
  <si>
    <t>承路</t>
  </si>
  <si>
    <t>杭州七鑫彩家居用品有限公司</t>
  </si>
  <si>
    <t>家居类目（地垫为主）+跨境电商+天猫TOP商家</t>
  </si>
  <si>
    <t>杭州市临平区迎宾路理想银泰城</t>
  </si>
  <si>
    <t>表格填报、中国式报表Pro3-63</t>
  </si>
  <si>
    <t>刘强；姜长洪</t>
  </si>
  <si>
    <t>杭州反掌数据科技有限公司（菠菜健身）</t>
  </si>
  <si>
    <t>体育健身SAAS系统研发+数据服务，旗下品牌“菠菜健身”；核心产品：菠菜健身SaaS管理系统、场馆智能系统、健身数据采集系统</t>
  </si>
  <si>
    <t>浙江省杭州市西湖区三墩镇萍水西街80号优盘时间代中心1号楼13楼</t>
  </si>
  <si>
    <t>数据大屏 6-不限</t>
  </si>
  <si>
    <t>未交接</t>
  </si>
  <si>
    <t>周意文已加；林为同没加上</t>
  </si>
  <si>
    <t>浙江护童人体工学科技股份有限公司</t>
  </si>
  <si>
    <t>儿童人体工学学习桌椅龙头，研发生产销售一体化，主品牌护童，子品牌享学；核心产品：可升降学习桌人体工学护脊椅</t>
  </si>
  <si>
    <t>杭州市西湖区西港发展中心3幢17楼A座</t>
  </si>
  <si>
    <t>表格填报、移动端、桌面端、大屏、中国式报表</t>
  </si>
  <si>
    <t>多年单</t>
  </si>
  <si>
    <t>百川；Amy；见到太阳了</t>
  </si>
  <si>
    <t>杭州驰海时代科技有限公司</t>
  </si>
  <si>
    <t>态度可，需深挖</t>
  </si>
  <si>
    <t>轻运动服饰跨境电商+品牌运营，精品化路线、侧重产品设计与品牌化、全球化零售布局</t>
  </si>
  <si>
    <t>滨江区万福中心A座</t>
  </si>
  <si>
    <t>移动轻应用、数据填报（均首年赠送） 自助取数 5-35+5只读（0324）</t>
  </si>
  <si>
    <t>姜美 -数据专员；汤金芳；旭</t>
  </si>
  <si>
    <t>浙江浙果壹号农业科技有限公司</t>
  </si>
  <si>
    <t>水果新零售连锁龙头、集种植冷链零售供应链与一体，核心品类：阳光玫瑰、仙居杨梅、麒麟瓜、网纹瓜、精品柑橘等中高端鲜果</t>
  </si>
  <si>
    <t>萧山区宁围街道广孚联合国际中心</t>
  </si>
  <si>
    <t>中国式报表
表格填报
移动式应用
自助式取数
智能ETL</t>
  </si>
  <si>
    <t>新客户2026.03.10赵诗怡首次拜访沟通</t>
  </si>
  <si>
    <t>数据专员王浩坤；陈晓静，周俊强</t>
  </si>
  <si>
    <t>合同到期</t>
  </si>
  <si>
    <t>交接备注</t>
  </si>
  <si>
    <t>公司业务情况</t>
  </si>
  <si>
    <t>客户主要联系人</t>
  </si>
  <si>
    <t>建联情况</t>
  </si>
  <si>
    <t>合同金额</t>
  </si>
  <si>
    <t>最早签约时间</t>
  </si>
  <si>
    <t>最近到期时间</t>
  </si>
  <si>
    <t>具体买的产品</t>
  </si>
  <si>
    <t>物产-化工/数科/雄鹰</t>
  </si>
  <si>
    <t>合同推进中，大单需落地</t>
  </si>
  <si>
    <t>26Q3</t>
  </si>
  <si>
    <t>物产集团子公司，要继续跟数科公司、雄鹰轮胎保持良好接洽，挖掘更多合作机会</t>
  </si>
  <si>
    <t>浙江省属国企集团型公司</t>
  </si>
  <si>
    <t>化工数科在杭州，雄鹰在山东</t>
  </si>
  <si>
    <t>化工：董老师
数科：何总+祎杰
雄鹰：高总+瑞香</t>
  </si>
  <si>
    <r>
      <rPr>
        <sz val="11"/>
        <color theme="1"/>
        <rFont val="宋体"/>
        <charset val="134"/>
        <scheme val="minor"/>
      </rPr>
      <t>董老师</t>
    </r>
    <r>
      <rPr>
        <sz val="11"/>
        <color theme="8"/>
        <rFont val="宋体"/>
        <charset val="134"/>
        <scheme val="minor"/>
      </rPr>
      <t>企微侧</t>
    </r>
    <r>
      <rPr>
        <sz val="11"/>
        <color theme="1"/>
        <rFont val="宋体"/>
        <charset val="134"/>
        <scheme val="minor"/>
      </rPr>
      <t>申请加微暂时没通过
何总祎杰微信侧已加好友 祎杰侧铺垫了休假后拜访交流
高总和瑞香微信添加 初步建联</t>
    </r>
  </si>
  <si>
    <t>9w+</t>
  </si>
  <si>
    <t>青团宝</t>
  </si>
  <si>
    <t>账号增购需求多，后面多挖掘；
渠道侧客户，报价需注意</t>
  </si>
  <si>
    <t>渠道（尔世智能）签约客户；
和渠道有价格沟通群（商务可找乐乐）；
saas模式，账号增购需求多</t>
  </si>
  <si>
    <t>做灵活用工的，餐饮等比较多</t>
  </si>
  <si>
    <t>杭州余杭</t>
  </si>
  <si>
    <t>许成许老师</t>
  </si>
  <si>
    <r>
      <rPr>
        <sz val="11"/>
        <color theme="1"/>
        <rFont val="宋体"/>
        <charset val="134"/>
        <scheme val="minor"/>
      </rPr>
      <t>许成许老师</t>
    </r>
    <r>
      <rPr>
        <sz val="11"/>
        <color theme="8"/>
        <rFont val="宋体"/>
        <charset val="134"/>
        <scheme val="minor"/>
      </rPr>
      <t>企微侧</t>
    </r>
    <r>
      <rPr>
        <sz val="11"/>
        <color theme="1"/>
        <rFont val="宋体"/>
        <charset val="134"/>
        <scheme val="minor"/>
      </rPr>
      <t>进行了加微</t>
    </r>
  </si>
  <si>
    <t>10w+</t>
  </si>
  <si>
    <t>东昊网络</t>
  </si>
  <si>
    <t>业务侧解除竞品中，季总需重点维系</t>
  </si>
  <si>
    <t>27Q1</t>
  </si>
  <si>
    <t>提防业务侧对预策、边界等其他bi的引入，多和季总了解内部情况</t>
  </si>
  <si>
    <t>安徽芜湖，2011年成立，电商运营公司。
做什么：休闲运动鞋的互联网销售，产品线覆盖硫化鞋、注塑鞋、冷粘鞋等，线上卖鞋的。
模式：电商运营+品牌孵化。不光自己卖鞋，还帮品牌做线上代运营和孵化，覆盖抖音、快手、小红书、天猫、京东、拼多多、得物等全平台。和国内外多个品牌有战略合作，也有自有品牌的成功孵化案例。</t>
  </si>
  <si>
    <t>杭州萧山</t>
  </si>
  <si>
    <t>季总</t>
  </si>
  <si>
    <r>
      <rPr>
        <sz val="11"/>
        <color theme="1"/>
        <rFont val="宋体"/>
        <charset val="134"/>
        <scheme val="minor"/>
      </rPr>
      <t>群里打了招呼，</t>
    </r>
    <r>
      <rPr>
        <sz val="11"/>
        <color theme="8"/>
        <rFont val="宋体"/>
        <charset val="134"/>
        <scheme val="minor"/>
      </rPr>
      <t>企微</t>
    </r>
    <r>
      <rPr>
        <sz val="11"/>
        <color theme="1"/>
        <rFont val="宋体"/>
        <charset val="134"/>
        <scheme val="minor"/>
      </rPr>
      <t>加了客户微信</t>
    </r>
  </si>
  <si>
    <t>10W+</t>
  </si>
  <si>
    <t>蜜芽</t>
  </si>
  <si>
    <t>人员流动大</t>
  </si>
  <si>
    <t xml:space="preserve"> 北京，母婴电商平台，2011年由刘楠创立，累计服务5000万+用户。早期进口母婴特卖起家，现转型女性生活方式平台（零售+自有品牌+会员营销），线上自建平台+天猫京东+线下体验店。</t>
  </si>
  <si>
    <t>小江-江岷恩</t>
  </si>
  <si>
    <t>钉钉群里打了招呼，钉钉加好友已经通过</t>
  </si>
  <si>
    <t>一知智能</t>
  </si>
  <si>
    <t>saas模式;
有cu增购潜力</t>
  </si>
  <si>
    <t>做AI外呼和数字人直播的</t>
  </si>
  <si>
    <t>郑洁郑总</t>
  </si>
  <si>
    <t>企微群里打了招呼  私聊郑洁和数分李丽媛加好友都暂未通过</t>
  </si>
  <si>
    <t>8w</t>
  </si>
  <si>
    <t>加点滋味</t>
  </si>
  <si>
    <t>27Q2</t>
  </si>
  <si>
    <t>小而美的企业，食品调料行业增速快；
关注账号增购需求</t>
  </si>
  <si>
    <r>
      <rPr>
        <sz val="11"/>
        <color theme="1"/>
        <rFont val="宋体"/>
        <charset val="134"/>
        <scheme val="minor"/>
      </rPr>
      <t xml:space="preserve">加点滋味 — 杭州萧山的复合调味料品牌公司，2020年成立，年营收近5亿。
</t>
    </r>
    <r>
      <rPr>
        <b/>
        <sz val="11"/>
        <color theme="8"/>
        <rFont val="宋体"/>
        <charset val="134"/>
        <scheme val="minor"/>
      </rPr>
      <t>做什么</t>
    </r>
    <r>
      <rPr>
        <sz val="11"/>
        <color theme="1"/>
        <rFont val="宋体"/>
        <charset val="134"/>
        <scheme val="minor"/>
      </rPr>
      <t xml:space="preserve">：让人简单烹饪做出餐厅味道，三条线——火锅汤底、家常菜料包、轻食拌饭酱，客单价约40元，复购率25%。
</t>
    </r>
    <r>
      <rPr>
        <sz val="11"/>
        <color theme="8"/>
        <rFont val="宋体"/>
        <charset val="134"/>
        <scheme val="minor"/>
      </rPr>
      <t>怎么卖</t>
    </r>
    <r>
      <rPr>
        <sz val="11"/>
        <color theme="1"/>
        <rFont val="宋体"/>
        <charset val="134"/>
        <scheme val="minor"/>
      </rPr>
      <t>：线上天猫京东抖音拼多多，线下盒马叮咚朴朴永辉等全渠道铺开，微信私域10万+用户
模式：爆品打法（先单品打爆再扩SKU）+ 场景化包装（"寿喜烧"比"日式酱油"好卖）。拿了高瓴、IDG、青山资本的投资。
总部：杭州萧山经济技术开发区。</t>
    </r>
  </si>
  <si>
    <t>sherry(财务负责人，核心kp)
carrie(bi核心对接人）</t>
  </si>
  <si>
    <r>
      <rPr>
        <sz val="11"/>
        <color theme="1"/>
        <rFont val="宋体"/>
        <charset val="134"/>
        <scheme val="minor"/>
      </rPr>
      <t>企微群里打了招呼，sherry隐私设置无法添加，carrie</t>
    </r>
    <r>
      <rPr>
        <sz val="11"/>
        <color theme="8"/>
        <rFont val="宋体"/>
        <charset val="134"/>
        <scheme val="minor"/>
      </rPr>
      <t>企微</t>
    </r>
    <r>
      <rPr>
        <sz val="11"/>
        <color theme="1"/>
        <rFont val="宋体"/>
        <charset val="134"/>
        <scheme val="minor"/>
      </rPr>
      <t>已经加其微信</t>
    </r>
  </si>
  <si>
    <t>6w</t>
  </si>
  <si>
    <t>同庆楼</t>
  </si>
  <si>
    <t>26Q4</t>
  </si>
  <si>
    <t>维保续约要提前几个月跟进，摸排续约想法和意愿，有延期续约的习惯；
大版本升级付费一次；</t>
  </si>
  <si>
    <t>同庆楼 — 安徽起家的老牌餐饮上市企业
规模：2025年营收 26.81亿，门店上百家，行业居首。
业务：四块——餐饮服务（正餐宴会）、婚庆服务、酒店住宿（富茂酒店）、食品业务（预制菜/伴手礼）。
模式：主打大店模式和宴会经济——单店面积大、承接婚宴/寿宴/商务宴等集中化需求，婚庆宴会区域龙头。定位高性价比，契合当下消费趋势。旗下富茂酒店已完成长三角布局。
总部：安徽合肥，门店覆盖华东为主</t>
  </si>
  <si>
    <t>安徽</t>
  </si>
  <si>
    <t>潘总（总助，核心领导）
张建安（bi运维对接人）</t>
  </si>
  <si>
    <t xml:space="preserve">企业微信群里打了招呼 潘总企微已经加了 </t>
  </si>
  <si>
    <t>3w+</t>
  </si>
  <si>
    <t>栢特薇</t>
  </si>
  <si>
    <t>26Q3-Q4</t>
  </si>
  <si>
    <t>联合经营的 销售没怎么交接</t>
  </si>
  <si>
    <t>栢特薇（深圳）化妆品有限公司 — 深圳前海，2016年成立，中外合资。
做什么：泰国栢特薇集团的中国运营主体，做美妆个护产品（防晒、护肤、彩妆等）。旗下有知名品牌 Mistine（蜜丝婷）——就是那个泰国防晒霜和化妆品品牌，在国内线上渠道卖得很好。
模式：泰国品牌 + 中国运营，主要靠线上渠道（天猫、抖音、小红书等）做爆品营销，防晒类是核心品类。
总部：深圳前海</t>
  </si>
  <si>
    <t>深圳</t>
  </si>
  <si>
    <t>未交接，主要销售负责</t>
  </si>
  <si>
    <t>没有建联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</si>
</sst>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9"/>
      <name val="宋体"/>
      <charset val="134"/>
      <scheme val="minor"/>
    </font>
    <font>
      <sz val="10.5"/>
      <color rgb="FF4750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8"/>
      <name val="宋体"/>
      <charset val="134"/>
      <scheme val="minor"/>
    </font>
    <font>
      <b/>
      <sz val="11"/>
      <color theme="8"/>
      <name val="宋体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8" applyNumberFormat="0" applyAlignment="0" applyProtection="0">
      <alignment vertical="center"/>
    </xf>
    <xf numFmtId="0" fontId="15" fillId="21" borderId="9" applyNumberFormat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17" fillId="22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5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 wrapText="1"/>
      <protection locked="0"/>
    </xf>
    <xf numFmtId="0" fontId="0" fillId="10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1" fillId="12" borderId="1" xfId="0" applyFont="1" applyFill="1" applyBorder="1" applyAlignment="1" applyProtection="1">
      <alignment horizontal="center" vertical="center" wrapText="1"/>
      <protection locked="0"/>
    </xf>
    <xf numFmtId="0" fontId="1" fillId="13" borderId="1" xfId="0" applyFont="1" applyFill="1" applyBorder="1" applyAlignment="1" applyProtection="1">
      <alignment horizontal="center" vertical="center" wrapText="1"/>
      <protection locked="0"/>
    </xf>
    <xf numFmtId="0" fontId="1" fillId="12" borderId="0" xfId="0" applyFont="1" applyFill="1" applyAlignment="1" applyProtection="1">
      <alignment vertical="center" wrapText="1"/>
      <protection locked="0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vertical="center" wrapText="1"/>
    </xf>
    <xf numFmtId="14" fontId="1" fillId="0" borderId="1" xfId="0" applyNumberFormat="1" applyFont="1" applyFill="1" applyBorder="1" applyAlignment="1">
      <alignment vertical="center" wrapText="1"/>
    </xf>
    <xf numFmtId="14" fontId="1" fillId="0" borderId="0" xfId="0" applyNumberFormat="1" applyFont="1" applyFill="1" applyAlignment="1">
      <alignment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vertical="center" wrapText="1"/>
    </xf>
    <xf numFmtId="14" fontId="2" fillId="0" borderId="0" xfId="0" applyNumberFormat="1" applyFont="1" applyFill="1" applyAlignment="1">
      <alignment vertical="center" wrapText="1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10" borderId="1" xfId="0" applyFont="1" applyFill="1" applyBorder="1" applyAlignment="1" applyProtection="1">
      <alignment horizontal="center" vertical="center" wrapText="1"/>
      <protection locked="0"/>
    </xf>
    <xf numFmtId="14" fontId="1" fillId="14" borderId="1" xfId="0" applyNumberFormat="1" applyFont="1" applyFill="1" applyBorder="1" applyAlignment="1">
      <alignment horizontal="center" vertical="center" wrapText="1"/>
    </xf>
    <xf numFmtId="177" fontId="1" fillId="14" borderId="1" xfId="0" applyNumberFormat="1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7" fontId="1" fillId="0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1" fillId="16" borderId="4" xfId="0" applyFont="1" applyFill="1" applyBorder="1" applyAlignment="1" applyProtection="1">
      <alignment vertical="center" wrapText="1"/>
      <protection locked="0"/>
    </xf>
    <xf numFmtId="0" fontId="1" fillId="16" borderId="4" xfId="0" applyFont="1" applyFill="1" applyBorder="1" applyAlignment="1" applyProtection="1">
      <alignment horizontal="center" vertical="center" wrapText="1"/>
      <protection locked="0"/>
    </xf>
    <xf numFmtId="0" fontId="1" fillId="16" borderId="4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vertical="center" wrapText="1"/>
    </xf>
    <xf numFmtId="0" fontId="0" fillId="15" borderId="4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vertical="center" wrapText="1"/>
    </xf>
    <xf numFmtId="176" fontId="1" fillId="16" borderId="1" xfId="0" applyNumberFormat="1" applyFont="1" applyFill="1" applyBorder="1" applyAlignment="1">
      <alignment vertical="center" wrapText="1"/>
    </xf>
    <xf numFmtId="14" fontId="1" fillId="16" borderId="1" xfId="0" applyNumberFormat="1" applyFont="1" applyFill="1" applyBorder="1" applyAlignment="1">
      <alignment vertical="center" wrapText="1"/>
    </xf>
    <xf numFmtId="0" fontId="1" fillId="15" borderId="0" xfId="0" applyFont="1" applyFill="1" applyAlignment="1">
      <alignment vertical="center" wrapText="1"/>
    </xf>
    <xf numFmtId="0" fontId="0" fillId="16" borderId="4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8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14" fontId="4" fillId="14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3" fillId="12" borderId="1" xfId="0" applyFont="1" applyFill="1" applyBorder="1" applyAlignment="1" applyProtection="1">
      <alignment horizontal="center" vertical="center" wrapText="1"/>
      <protection locked="0"/>
    </xf>
    <xf numFmtId="0" fontId="1" fillId="17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Fill="1" applyBorder="1" applyAlignment="1" applyProtection="1">
      <alignment vertical="center" wrapText="1"/>
      <protection locked="0"/>
    </xf>
    <xf numFmtId="176" fontId="1" fillId="0" borderId="1" xfId="0" applyNumberFormat="1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" fillId="0" borderId="0" xfId="0" applyFont="1" applyFill="1" applyAlignment="1" applyProtection="1">
      <alignment vertical="center" wrapText="1"/>
      <protection locked="0"/>
    </xf>
    <xf numFmtId="0" fontId="0" fillId="0" borderId="0" xfId="0" applyFill="1">
      <alignment vertical="center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34"/>
  <sheetViews>
    <sheetView tabSelected="1" zoomScale="91" zoomScaleNormal="91" workbookViewId="0">
      <pane xSplit="5" ySplit="5" topLeftCell="F6" activePane="bottomRight" state="frozen"/>
      <selection/>
      <selection pane="topRight"/>
      <selection pane="bottomLeft"/>
      <selection pane="bottomRight" activeCell="H6" sqref="H6"/>
    </sheetView>
  </sheetViews>
  <sheetFormatPr defaultColWidth="8.88461538461539" defaultRowHeight="16.8"/>
  <cols>
    <col min="2" max="2" width="44.3653846153846" customWidth="1"/>
    <col min="3" max="3" width="31.0769230769231" style="13" customWidth="1"/>
    <col min="4" max="4" width="31.0769230769231" style="19" customWidth="1"/>
    <col min="5" max="5" width="16.5865384615385" hidden="1" customWidth="1"/>
    <col min="6" max="6" width="14.8846153846154" hidden="1" customWidth="1"/>
    <col min="7" max="7" width="16.7788461538462" hidden="1" customWidth="1"/>
    <col min="8" max="8" width="28.5192307692308" customWidth="1"/>
    <col min="9" max="9" width="27.6923076923077" customWidth="1"/>
    <col min="10" max="10" width="16.8846153846154" customWidth="1"/>
    <col min="11" max="11" width="15.1538461538462" customWidth="1"/>
    <col min="12" max="12" width="16.8846153846154" customWidth="1"/>
    <col min="13" max="13" width="8.88461538461539" hidden="1" customWidth="1"/>
    <col min="14" max="14" width="13.2211538461538" customWidth="1"/>
    <col min="15" max="16" width="13.2211538461538" hidden="1" customWidth="1"/>
    <col min="17" max="17" width="36.1057692307692" customWidth="1"/>
    <col min="18" max="19" width="13.4423076923077" customWidth="1"/>
    <col min="20" max="20" width="11.875" customWidth="1"/>
    <col min="21" max="21" width="11.4423076923077" hidden="1" customWidth="1"/>
    <col min="22" max="22" width="14.1153846153846" customWidth="1"/>
    <col min="23" max="23" width="22.4615384615385" customWidth="1"/>
    <col min="24" max="24" width="20" customWidth="1"/>
    <col min="25" max="25" width="12.7692307692308" customWidth="1"/>
    <col min="26" max="26" width="12.7692307692308" hidden="1" customWidth="1"/>
    <col min="27" max="27" width="21.1538461538462" hidden="1" customWidth="1"/>
    <col min="28" max="28" width="43.3076923076923" customWidth="1"/>
    <col min="29" max="29" width="0.567307692307692" customWidth="1"/>
    <col min="30" max="30" width="25.9230769230769" customWidth="1"/>
    <col min="31" max="31" width="39.6346153846154" customWidth="1"/>
    <col min="32" max="32" width="18.1826923076923" customWidth="1"/>
    <col min="33" max="33" width="21.3076923076923" customWidth="1"/>
  </cols>
  <sheetData>
    <row r="1" spans="1:33">
      <c r="A1" t="s">
        <v>0</v>
      </c>
      <c r="B1" t="s">
        <v>1</v>
      </c>
      <c r="C1" s="13" t="s">
        <v>2</v>
      </c>
      <c r="D1" t="s">
        <v>3</v>
      </c>
      <c r="E1" s="13" t="s">
        <v>4</v>
      </c>
      <c r="F1" s="13" t="s">
        <v>5</v>
      </c>
      <c r="G1" t="s">
        <v>6</v>
      </c>
      <c r="H1" t="s">
        <v>7</v>
      </c>
      <c r="I1" t="s">
        <v>8</v>
      </c>
      <c r="J1" s="13" t="s">
        <v>9</v>
      </c>
      <c r="K1" s="13" t="s">
        <v>10</v>
      </c>
      <c r="L1" s="13" t="s">
        <v>11</v>
      </c>
      <c r="M1" t="s">
        <v>12</v>
      </c>
      <c r="N1" t="s">
        <v>13</v>
      </c>
      <c r="O1" t="s">
        <v>14</v>
      </c>
      <c r="P1" t="s">
        <v>15</v>
      </c>
      <c r="Q1" s="13" t="s">
        <v>16</v>
      </c>
      <c r="R1" s="20" t="s">
        <v>17</v>
      </c>
      <c r="S1" t="s">
        <v>18</v>
      </c>
      <c r="T1" t="s">
        <v>19</v>
      </c>
      <c r="U1" s="20" t="s">
        <v>20</v>
      </c>
      <c r="V1" t="s">
        <v>21</v>
      </c>
      <c r="W1" s="20" t="s">
        <v>22</v>
      </c>
      <c r="X1" s="20" t="s">
        <v>23</v>
      </c>
      <c r="Y1" s="20" t="s">
        <v>24</v>
      </c>
      <c r="Z1" t="s">
        <v>25</v>
      </c>
      <c r="AA1" t="s">
        <v>26</v>
      </c>
      <c r="AB1" s="20" t="s">
        <v>27</v>
      </c>
      <c r="AC1" t="s">
        <v>28</v>
      </c>
      <c r="AD1" s="21" t="s">
        <v>29</v>
      </c>
      <c r="AE1" s="1" t="s">
        <v>30</v>
      </c>
      <c r="AF1" s="13" t="s">
        <v>31</v>
      </c>
      <c r="AG1" s="1" t="s">
        <v>32</v>
      </c>
    </row>
    <row r="2" ht="77" customHeight="1" spans="1:33">
      <c r="A2" s="1">
        <v>1</v>
      </c>
      <c r="B2" s="22" t="s">
        <v>33</v>
      </c>
      <c r="C2" s="23" t="s">
        <v>34</v>
      </c>
      <c r="D2" s="4" t="s">
        <v>35</v>
      </c>
      <c r="E2" s="22" t="s">
        <v>36</v>
      </c>
      <c r="F2" s="22" t="s">
        <v>37</v>
      </c>
      <c r="G2" s="22" t="s">
        <v>38</v>
      </c>
      <c r="H2" s="22" t="s">
        <v>39</v>
      </c>
      <c r="I2" s="24" t="s">
        <v>40</v>
      </c>
      <c r="J2" s="4" t="s">
        <v>41</v>
      </c>
      <c r="K2" s="4">
        <v>18365005340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>
        <v>217500</v>
      </c>
      <c r="V2" s="25">
        <v>45842</v>
      </c>
      <c r="W2" s="26" t="s">
        <v>51</v>
      </c>
      <c r="X2" s="4">
        <v>217500</v>
      </c>
      <c r="Y2" s="4">
        <v>30000</v>
      </c>
      <c r="Z2" s="4">
        <v>30000</v>
      </c>
      <c r="AA2" s="27" t="s">
        <v>52</v>
      </c>
      <c r="AB2" s="28" t="s">
        <v>53</v>
      </c>
      <c r="AC2" s="27"/>
      <c r="AD2" s="27"/>
      <c r="AE2" s="8" t="s">
        <v>54</v>
      </c>
      <c r="AF2" s="29" t="s">
        <v>55</v>
      </c>
      <c r="AG2" s="1"/>
    </row>
    <row r="3" ht="17" hidden="1" customHeight="1" spans="1:33">
      <c r="A3" s="1">
        <v>2</v>
      </c>
      <c r="B3" s="30" t="s">
        <v>56</v>
      </c>
      <c r="C3" s="31"/>
      <c r="D3" s="24" t="s">
        <v>57</v>
      </c>
      <c r="E3" s="30"/>
      <c r="F3" s="30"/>
      <c r="G3" s="32" t="s">
        <v>58</v>
      </c>
      <c r="H3" s="30" t="s">
        <v>59</v>
      </c>
      <c r="I3" s="27" t="s">
        <v>60</v>
      </c>
      <c r="J3" s="33"/>
      <c r="K3" s="33"/>
      <c r="L3" s="24" t="s">
        <v>61</v>
      </c>
      <c r="M3" s="34" t="s">
        <v>43</v>
      </c>
      <c r="N3" s="27" t="s">
        <v>62</v>
      </c>
      <c r="O3" s="34"/>
      <c r="P3" s="34"/>
      <c r="Q3" s="27" t="s">
        <v>63</v>
      </c>
      <c r="R3" s="24" t="s">
        <v>48</v>
      </c>
      <c r="S3" s="24"/>
      <c r="T3" s="35" t="s">
        <v>64</v>
      </c>
      <c r="U3" s="36">
        <v>43950</v>
      </c>
      <c r="V3" s="25">
        <v>45650</v>
      </c>
      <c r="W3" s="25">
        <v>46021</v>
      </c>
      <c r="X3" s="37"/>
      <c r="Y3" s="37"/>
      <c r="Z3" s="38"/>
      <c r="AA3" s="34" t="s">
        <v>65</v>
      </c>
      <c r="AB3" s="27" t="s">
        <v>66</v>
      </c>
      <c r="AC3" s="34"/>
      <c r="AD3" s="27"/>
      <c r="AE3" s="1" t="s">
        <v>67</v>
      </c>
      <c r="AF3" s="1" t="s">
        <v>55</v>
      </c>
      <c r="AG3" s="1"/>
    </row>
    <row r="4" ht="32" hidden="1" customHeight="1" spans="1:33">
      <c r="A4" s="1">
        <v>3</v>
      </c>
      <c r="B4" s="30" t="s">
        <v>68</v>
      </c>
      <c r="C4" s="31"/>
      <c r="D4" s="24" t="s">
        <v>57</v>
      </c>
      <c r="E4" s="30"/>
      <c r="F4" s="30"/>
      <c r="G4" s="32" t="s">
        <v>69</v>
      </c>
      <c r="H4" s="30" t="s">
        <v>70</v>
      </c>
      <c r="I4" s="27" t="s">
        <v>71</v>
      </c>
      <c r="J4" s="33"/>
      <c r="K4" s="33"/>
      <c r="L4" s="24" t="s">
        <v>72</v>
      </c>
      <c r="M4" s="34" t="s">
        <v>43</v>
      </c>
      <c r="N4" s="27" t="s">
        <v>73</v>
      </c>
      <c r="O4" s="34"/>
      <c r="P4" s="34"/>
      <c r="Q4" s="27" t="s">
        <v>74</v>
      </c>
      <c r="R4" s="24" t="s">
        <v>75</v>
      </c>
      <c r="S4" s="24"/>
      <c r="T4" s="35" t="s">
        <v>76</v>
      </c>
      <c r="U4" s="36">
        <v>107100</v>
      </c>
      <c r="V4" s="25">
        <v>45714</v>
      </c>
      <c r="W4" s="39">
        <v>46446</v>
      </c>
      <c r="X4" s="40"/>
      <c r="Y4" s="40"/>
      <c r="Z4" s="41"/>
      <c r="AA4" s="34" t="s">
        <v>77</v>
      </c>
      <c r="AB4" s="27"/>
      <c r="AC4" s="34"/>
      <c r="AD4" s="27"/>
      <c r="AE4" s="8" t="s">
        <v>78</v>
      </c>
      <c r="AF4" s="1" t="s">
        <v>55</v>
      </c>
      <c r="AG4" s="1"/>
    </row>
    <row r="5" ht="71" customHeight="1" spans="1:33">
      <c r="A5" s="1">
        <v>4</v>
      </c>
      <c r="B5" s="42" t="s">
        <v>79</v>
      </c>
      <c r="C5" s="43" t="s">
        <v>80</v>
      </c>
      <c r="D5" s="24" t="s">
        <v>35</v>
      </c>
      <c r="E5" s="42" t="s">
        <v>36</v>
      </c>
      <c r="F5" s="42" t="s">
        <v>37</v>
      </c>
      <c r="G5" s="42" t="s">
        <v>81</v>
      </c>
      <c r="H5" s="42" t="s">
        <v>82</v>
      </c>
      <c r="I5" s="24" t="s">
        <v>83</v>
      </c>
      <c r="J5" s="24" t="s">
        <v>84</v>
      </c>
      <c r="K5" s="80" t="s">
        <v>85</v>
      </c>
      <c r="L5" s="24" t="s">
        <v>72</v>
      </c>
      <c r="M5" s="24" t="s">
        <v>43</v>
      </c>
      <c r="N5" s="24" t="s">
        <v>44</v>
      </c>
      <c r="O5" s="24" t="s">
        <v>86</v>
      </c>
      <c r="P5" s="24" t="s">
        <v>87</v>
      </c>
      <c r="Q5" s="24" t="s">
        <v>88</v>
      </c>
      <c r="R5" s="24" t="s">
        <v>75</v>
      </c>
      <c r="S5" s="24" t="s">
        <v>89</v>
      </c>
      <c r="T5" s="35" t="s">
        <v>50</v>
      </c>
      <c r="U5" s="35">
        <v>72000</v>
      </c>
      <c r="V5" s="25">
        <v>45000</v>
      </c>
      <c r="W5" s="44">
        <v>46460</v>
      </c>
      <c r="X5" s="45">
        <v>68800</v>
      </c>
      <c r="Y5" s="45">
        <v>68800</v>
      </c>
      <c r="Z5" s="45">
        <v>68800</v>
      </c>
      <c r="AA5" s="27" t="s">
        <v>90</v>
      </c>
      <c r="AB5" s="46" t="s">
        <v>91</v>
      </c>
      <c r="AC5" s="27"/>
      <c r="AD5" s="24" t="s">
        <v>92</v>
      </c>
      <c r="AE5" s="1" t="s">
        <v>93</v>
      </c>
      <c r="AF5" s="1" t="s">
        <v>55</v>
      </c>
      <c r="AG5" s="1"/>
    </row>
    <row r="6" ht="69" customHeight="1" spans="1:33">
      <c r="A6" s="1">
        <v>5</v>
      </c>
      <c r="B6" s="22" t="s">
        <v>94</v>
      </c>
      <c r="C6" s="23" t="s">
        <v>95</v>
      </c>
      <c r="D6" s="24" t="s">
        <v>35</v>
      </c>
      <c r="E6" s="47" t="s">
        <v>96</v>
      </c>
      <c r="F6" s="47" t="s">
        <v>37</v>
      </c>
      <c r="G6" s="47" t="s">
        <v>46</v>
      </c>
      <c r="H6" s="47" t="s">
        <v>97</v>
      </c>
      <c r="I6" s="24" t="s">
        <v>98</v>
      </c>
      <c r="J6" s="24" t="s">
        <v>99</v>
      </c>
      <c r="K6" s="24">
        <v>18757569739</v>
      </c>
      <c r="L6" s="24" t="s">
        <v>100</v>
      </c>
      <c r="M6" s="24" t="s">
        <v>43</v>
      </c>
      <c r="N6" s="24" t="s">
        <v>101</v>
      </c>
      <c r="O6" s="24" t="s">
        <v>102</v>
      </c>
      <c r="P6" s="13" t="s">
        <v>103</v>
      </c>
      <c r="Q6" s="24" t="s">
        <v>104</v>
      </c>
      <c r="R6" s="24" t="s">
        <v>48</v>
      </c>
      <c r="S6" s="24" t="s">
        <v>105</v>
      </c>
      <c r="T6" s="35" t="s">
        <v>50</v>
      </c>
      <c r="U6" s="35">
        <v>25687</v>
      </c>
      <c r="V6" s="25">
        <v>45050</v>
      </c>
      <c r="W6" s="25">
        <v>46171</v>
      </c>
      <c r="X6" s="48">
        <v>25687</v>
      </c>
      <c r="Y6" s="48">
        <v>25687</v>
      </c>
      <c r="Z6" s="25" t="s">
        <v>46</v>
      </c>
      <c r="AA6" s="24" t="s">
        <v>106</v>
      </c>
      <c r="AB6" s="49" t="s">
        <v>107</v>
      </c>
      <c r="AC6" s="27"/>
      <c r="AD6" s="50" t="s">
        <v>108</v>
      </c>
      <c r="AE6" s="1" t="s">
        <v>109</v>
      </c>
      <c r="AF6" s="1" t="s">
        <v>55</v>
      </c>
      <c r="AG6" s="1"/>
    </row>
    <row r="7" ht="24" hidden="1" customHeight="1" spans="1:33">
      <c r="A7" s="1">
        <v>6</v>
      </c>
      <c r="B7" s="30" t="s">
        <v>110</v>
      </c>
      <c r="C7" s="43" t="s">
        <v>111</v>
      </c>
      <c r="D7" s="24" t="s">
        <v>57</v>
      </c>
      <c r="E7" s="30"/>
      <c r="F7" s="30"/>
      <c r="G7" s="32" t="s">
        <v>112</v>
      </c>
      <c r="H7" s="30" t="s">
        <v>113</v>
      </c>
      <c r="I7" s="27" t="s">
        <v>114</v>
      </c>
      <c r="J7" s="33"/>
      <c r="K7" s="33"/>
      <c r="L7" s="24" t="s">
        <v>115</v>
      </c>
      <c r="M7" s="34" t="s">
        <v>116</v>
      </c>
      <c r="N7" s="27" t="s">
        <v>62</v>
      </c>
      <c r="O7" s="34"/>
      <c r="P7" s="34"/>
      <c r="Q7" s="27" t="s">
        <v>117</v>
      </c>
      <c r="R7" s="27"/>
      <c r="S7" s="24"/>
      <c r="T7" s="35" t="s">
        <v>118</v>
      </c>
      <c r="U7" s="36">
        <v>280000</v>
      </c>
      <c r="V7" s="25">
        <v>45821</v>
      </c>
      <c r="W7" s="25">
        <v>46186</v>
      </c>
      <c r="X7" s="37"/>
      <c r="Y7" s="37"/>
      <c r="Z7" s="38"/>
      <c r="AA7" s="34" t="s">
        <v>119</v>
      </c>
      <c r="AB7" s="27" t="s">
        <v>120</v>
      </c>
      <c r="AC7" s="34"/>
      <c r="AD7" s="27"/>
      <c r="AE7" s="1" t="s">
        <v>121</v>
      </c>
      <c r="AF7" s="1" t="s">
        <v>55</v>
      </c>
      <c r="AG7" s="1"/>
    </row>
    <row r="8" ht="38" hidden="1" customHeight="1" spans="1:33">
      <c r="A8" s="1">
        <v>7</v>
      </c>
      <c r="B8" s="30" t="s">
        <v>122</v>
      </c>
      <c r="C8" s="43" t="s">
        <v>123</v>
      </c>
      <c r="D8" s="24" t="s">
        <v>57</v>
      </c>
      <c r="E8" s="30"/>
      <c r="F8" s="30"/>
      <c r="G8" s="32" t="s">
        <v>81</v>
      </c>
      <c r="H8" s="30" t="s">
        <v>124</v>
      </c>
      <c r="I8" s="27" t="s">
        <v>125</v>
      </c>
      <c r="J8" s="33"/>
      <c r="K8" s="33"/>
      <c r="L8" s="24" t="s">
        <v>115</v>
      </c>
      <c r="M8" s="34" t="s">
        <v>126</v>
      </c>
      <c r="N8" s="27" t="s">
        <v>62</v>
      </c>
      <c r="O8" s="34"/>
      <c r="P8" s="34"/>
      <c r="Q8" s="27" t="s">
        <v>127</v>
      </c>
      <c r="R8" s="27"/>
      <c r="S8" s="24"/>
      <c r="T8" s="35"/>
      <c r="U8" s="36">
        <v>26250</v>
      </c>
      <c r="V8" s="25">
        <v>45824</v>
      </c>
      <c r="W8" s="25">
        <v>46189</v>
      </c>
      <c r="X8" s="37"/>
      <c r="Y8" s="37"/>
      <c r="Z8" s="38"/>
      <c r="AA8" s="34" t="s">
        <v>128</v>
      </c>
      <c r="AB8" s="27"/>
      <c r="AC8" s="34"/>
      <c r="AD8" s="27"/>
      <c r="AE8" s="1" t="s">
        <v>129</v>
      </c>
      <c r="AF8" s="1" t="s">
        <v>55</v>
      </c>
      <c r="AG8" s="1"/>
    </row>
    <row r="9" ht="20" customHeight="1" spans="1:33">
      <c r="A9" s="51">
        <v>8</v>
      </c>
      <c r="B9" s="52" t="s">
        <v>130</v>
      </c>
      <c r="C9" s="53"/>
      <c r="D9" s="54" t="s">
        <v>35</v>
      </c>
      <c r="E9" s="52"/>
      <c r="F9" s="52"/>
      <c r="G9" s="52" t="s">
        <v>131</v>
      </c>
      <c r="H9" s="52" t="s">
        <v>132</v>
      </c>
      <c r="I9" s="55" t="s">
        <v>133</v>
      </c>
      <c r="J9" s="54"/>
      <c r="K9" s="54"/>
      <c r="L9" s="56"/>
      <c r="M9" s="57" t="s">
        <v>126</v>
      </c>
      <c r="N9" s="57" t="s">
        <v>73</v>
      </c>
      <c r="O9" s="57"/>
      <c r="P9" s="57"/>
      <c r="Q9" s="57" t="s">
        <v>134</v>
      </c>
      <c r="R9" s="57"/>
      <c r="S9" s="57"/>
      <c r="T9" s="58" t="s">
        <v>76</v>
      </c>
      <c r="U9" s="58">
        <v>137000</v>
      </c>
      <c r="V9" s="59">
        <v>45838</v>
      </c>
      <c r="W9" s="59">
        <v>46203</v>
      </c>
      <c r="X9" s="59"/>
      <c r="Y9" s="59"/>
      <c r="Z9" s="59"/>
      <c r="AA9" s="57" t="s">
        <v>135</v>
      </c>
      <c r="AB9" s="28"/>
      <c r="AC9" s="60"/>
      <c r="AD9" s="60"/>
      <c r="AE9" s="61" t="s">
        <v>136</v>
      </c>
      <c r="AF9" s="62"/>
      <c r="AG9" s="62"/>
    </row>
    <row r="10" ht="82" customHeight="1" spans="1:33">
      <c r="A10" s="1">
        <v>9</v>
      </c>
      <c r="B10" s="22" t="s">
        <v>137</v>
      </c>
      <c r="C10" s="63" t="s">
        <v>138</v>
      </c>
      <c r="D10" s="24" t="s">
        <v>35</v>
      </c>
      <c r="E10" s="64" t="s">
        <v>96</v>
      </c>
      <c r="F10" s="64" t="s">
        <v>37</v>
      </c>
      <c r="G10" s="64" t="s">
        <v>139</v>
      </c>
      <c r="H10" s="64" t="s">
        <v>140</v>
      </c>
      <c r="I10" s="24" t="s">
        <v>141</v>
      </c>
      <c r="J10" s="24" t="s">
        <v>46</v>
      </c>
      <c r="K10" s="65">
        <v>15267051484</v>
      </c>
      <c r="L10" s="24" t="s">
        <v>142</v>
      </c>
      <c r="M10" s="24" t="s">
        <v>43</v>
      </c>
      <c r="N10" s="24" t="s">
        <v>143</v>
      </c>
      <c r="O10" s="24" t="s">
        <v>45</v>
      </c>
      <c r="P10" s="24" t="s">
        <v>144</v>
      </c>
      <c r="Q10" s="27" t="s">
        <v>145</v>
      </c>
      <c r="R10" s="24" t="s">
        <v>75</v>
      </c>
      <c r="S10" s="24" t="s">
        <v>146</v>
      </c>
      <c r="T10" s="35" t="s">
        <v>76</v>
      </c>
      <c r="U10" s="35">
        <v>90780</v>
      </c>
      <c r="V10" s="25">
        <v>45154</v>
      </c>
      <c r="W10" s="25">
        <v>46249</v>
      </c>
      <c r="X10" s="37"/>
      <c r="Y10" s="37"/>
      <c r="Z10" s="37"/>
      <c r="AA10" s="27" t="s">
        <v>147</v>
      </c>
      <c r="AB10" s="28" t="s">
        <v>148</v>
      </c>
      <c r="AC10" s="27" t="s">
        <v>149</v>
      </c>
      <c r="AD10" s="50" t="s">
        <v>150</v>
      </c>
      <c r="AE10" s="8" t="s">
        <v>151</v>
      </c>
      <c r="AF10" s="1" t="s">
        <v>55</v>
      </c>
      <c r="AG10" s="1"/>
    </row>
    <row r="11" ht="52" customHeight="1" spans="1:33">
      <c r="A11" s="1">
        <v>10</v>
      </c>
      <c r="B11" s="42" t="s">
        <v>152</v>
      </c>
      <c r="C11" s="66" t="s">
        <v>138</v>
      </c>
      <c r="D11" s="24" t="s">
        <v>35</v>
      </c>
      <c r="E11" s="42" t="s">
        <v>96</v>
      </c>
      <c r="F11" s="42" t="s">
        <v>153</v>
      </c>
      <c r="G11" s="42" t="s">
        <v>154</v>
      </c>
      <c r="H11" s="42" t="s">
        <v>155</v>
      </c>
      <c r="I11" s="27" t="s">
        <v>156</v>
      </c>
      <c r="J11" s="24" t="s">
        <v>46</v>
      </c>
      <c r="K11" s="65">
        <v>13070425960</v>
      </c>
      <c r="L11" s="24" t="s">
        <v>157</v>
      </c>
      <c r="M11" s="24" t="s">
        <v>43</v>
      </c>
      <c r="N11" s="24" t="s">
        <v>101</v>
      </c>
      <c r="O11" s="24" t="s">
        <v>45</v>
      </c>
      <c r="P11" s="24"/>
      <c r="Q11" s="24" t="s">
        <v>158</v>
      </c>
      <c r="R11" s="24" t="s">
        <v>48</v>
      </c>
      <c r="S11" s="24" t="s">
        <v>159</v>
      </c>
      <c r="T11" s="35" t="s">
        <v>50</v>
      </c>
      <c r="U11" s="35">
        <v>50000</v>
      </c>
      <c r="V11" s="37">
        <v>45901</v>
      </c>
      <c r="W11" s="67">
        <v>46265</v>
      </c>
      <c r="X11" s="68"/>
      <c r="Y11" s="44"/>
      <c r="Z11" s="44"/>
      <c r="AA11" s="24" t="s">
        <v>160</v>
      </c>
      <c r="AB11" s="28" t="s">
        <v>161</v>
      </c>
      <c r="AC11" s="27"/>
      <c r="AD11" s="69"/>
      <c r="AE11" s="11" t="s">
        <v>162</v>
      </c>
      <c r="AF11" s="1" t="s">
        <v>55</v>
      </c>
      <c r="AG11" s="1"/>
    </row>
    <row r="12" ht="49" customHeight="1" spans="1:33">
      <c r="A12" s="1">
        <v>11</v>
      </c>
      <c r="B12" s="42" t="s">
        <v>163</v>
      </c>
      <c r="C12" s="31" t="s">
        <v>164</v>
      </c>
      <c r="D12" s="24" t="s">
        <v>35</v>
      </c>
      <c r="E12" s="42" t="s">
        <v>36</v>
      </c>
      <c r="F12" s="42" t="s">
        <v>165</v>
      </c>
      <c r="G12" s="42" t="s">
        <v>166</v>
      </c>
      <c r="H12" s="42" t="s">
        <v>167</v>
      </c>
      <c r="I12" s="27" t="s">
        <v>168</v>
      </c>
      <c r="J12" s="24" t="s">
        <v>46</v>
      </c>
      <c r="K12" s="24">
        <v>13841911292</v>
      </c>
      <c r="L12" s="24" t="s">
        <v>169</v>
      </c>
      <c r="M12" s="27" t="s">
        <v>126</v>
      </c>
      <c r="N12" s="24" t="s">
        <v>170</v>
      </c>
      <c r="O12" s="24" t="s">
        <v>45</v>
      </c>
      <c r="P12" s="27"/>
      <c r="Q12" s="24" t="s">
        <v>171</v>
      </c>
      <c r="R12" s="24" t="s">
        <v>75</v>
      </c>
      <c r="S12" s="24"/>
      <c r="T12" s="35" t="s">
        <v>76</v>
      </c>
      <c r="U12" s="35">
        <v>50000</v>
      </c>
      <c r="V12" s="25">
        <v>45173</v>
      </c>
      <c r="W12" s="44">
        <v>46278</v>
      </c>
      <c r="X12" s="44"/>
      <c r="Y12" s="44"/>
      <c r="Z12" s="44"/>
      <c r="AA12" s="24" t="s">
        <v>172</v>
      </c>
      <c r="AB12" s="46" t="s">
        <v>173</v>
      </c>
      <c r="AC12" s="27"/>
      <c r="AD12" s="27"/>
      <c r="AE12" s="1" t="s">
        <v>174</v>
      </c>
      <c r="AF12" s="1" t="s">
        <v>55</v>
      </c>
      <c r="AG12" s="1"/>
    </row>
    <row r="13" ht="28" hidden="1" customHeight="1" spans="1:33">
      <c r="A13" s="1">
        <v>12</v>
      </c>
      <c r="B13" s="70" t="s">
        <v>175</v>
      </c>
      <c r="C13" s="71"/>
      <c r="D13" s="24" t="s">
        <v>57</v>
      </c>
      <c r="E13" s="30"/>
      <c r="F13" s="30"/>
      <c r="G13" s="32" t="s">
        <v>166</v>
      </c>
      <c r="H13" s="30" t="s">
        <v>176</v>
      </c>
      <c r="I13" s="27" t="s">
        <v>177</v>
      </c>
      <c r="J13" s="33"/>
      <c r="K13" s="33"/>
      <c r="L13" s="24" t="s">
        <v>178</v>
      </c>
      <c r="M13" s="34" t="s">
        <v>179</v>
      </c>
      <c r="N13" s="27" t="s">
        <v>73</v>
      </c>
      <c r="O13" s="34"/>
      <c r="P13" s="34"/>
      <c r="Q13" s="27" t="s">
        <v>180</v>
      </c>
      <c r="R13" s="24" t="s">
        <v>75</v>
      </c>
      <c r="S13" s="24"/>
      <c r="T13" s="35" t="s">
        <v>118</v>
      </c>
      <c r="U13" s="36">
        <v>102000</v>
      </c>
      <c r="V13" s="25">
        <v>45895</v>
      </c>
      <c r="W13" s="25">
        <v>46294</v>
      </c>
      <c r="X13" s="37"/>
      <c r="Y13" s="37"/>
      <c r="Z13" s="38"/>
      <c r="AA13" s="34" t="s">
        <v>181</v>
      </c>
      <c r="AB13" s="27"/>
      <c r="AC13" s="34"/>
      <c r="AD13" s="27"/>
      <c r="AE13" s="1" t="s">
        <v>182</v>
      </c>
      <c r="AF13" s="1" t="s">
        <v>55</v>
      </c>
      <c r="AG13" s="1"/>
    </row>
    <row r="14" ht="39" customHeight="1" spans="1:33">
      <c r="A14" s="1">
        <v>13</v>
      </c>
      <c r="B14" s="42" t="s">
        <v>183</v>
      </c>
      <c r="C14" s="31" t="s">
        <v>184</v>
      </c>
      <c r="D14" s="24" t="s">
        <v>35</v>
      </c>
      <c r="E14" s="42" t="s">
        <v>36</v>
      </c>
      <c r="F14" s="72"/>
      <c r="G14" s="42" t="s">
        <v>185</v>
      </c>
      <c r="H14" s="42" t="s">
        <v>186</v>
      </c>
      <c r="I14" s="24" t="s">
        <v>187</v>
      </c>
      <c r="J14" s="24"/>
      <c r="K14" s="24"/>
      <c r="L14" s="24"/>
      <c r="M14" s="27" t="s">
        <v>43</v>
      </c>
      <c r="N14" s="24" t="s">
        <v>188</v>
      </c>
      <c r="O14" s="27"/>
      <c r="P14" s="27"/>
      <c r="Q14" s="27" t="s">
        <v>189</v>
      </c>
      <c r="R14" s="24" t="s">
        <v>48</v>
      </c>
      <c r="S14" s="27"/>
      <c r="T14" s="73" t="s">
        <v>76</v>
      </c>
      <c r="U14" s="73">
        <v>35000</v>
      </c>
      <c r="V14" s="37">
        <v>44104</v>
      </c>
      <c r="W14" s="44">
        <v>46295</v>
      </c>
      <c r="X14" s="45">
        <v>35000</v>
      </c>
      <c r="Y14" s="45">
        <v>35000</v>
      </c>
      <c r="Z14" s="44"/>
      <c r="AA14" s="24" t="s">
        <v>190</v>
      </c>
      <c r="AB14" s="46" t="s">
        <v>191</v>
      </c>
      <c r="AC14" s="27"/>
      <c r="AD14" s="27"/>
      <c r="AE14" s="1" t="s">
        <v>192</v>
      </c>
      <c r="AF14" s="1" t="s">
        <v>55</v>
      </c>
      <c r="AG14" s="1"/>
    </row>
    <row r="15" ht="43" customHeight="1" spans="1:33">
      <c r="A15" s="1">
        <v>14</v>
      </c>
      <c r="B15" s="42" t="s">
        <v>193</v>
      </c>
      <c r="C15" s="66" t="s">
        <v>194</v>
      </c>
      <c r="D15" s="24" t="s">
        <v>35</v>
      </c>
      <c r="E15" s="42" t="s">
        <v>36</v>
      </c>
      <c r="F15" s="72"/>
      <c r="G15" s="72" t="s">
        <v>69</v>
      </c>
      <c r="H15" s="72" t="s">
        <v>195</v>
      </c>
      <c r="I15" s="27" t="s">
        <v>196</v>
      </c>
      <c r="J15" s="24"/>
      <c r="K15" s="24"/>
      <c r="L15" s="24"/>
      <c r="M15" s="27" t="s">
        <v>43</v>
      </c>
      <c r="N15" s="27" t="s">
        <v>197</v>
      </c>
      <c r="O15" s="24"/>
      <c r="P15" s="24"/>
      <c r="Q15" s="25" t="s">
        <v>198</v>
      </c>
      <c r="R15" s="25" t="s">
        <v>199</v>
      </c>
      <c r="S15" s="25"/>
      <c r="T15" s="35" t="s">
        <v>76</v>
      </c>
      <c r="U15" s="35">
        <v>50000</v>
      </c>
      <c r="V15" s="25">
        <v>44712</v>
      </c>
      <c r="W15" s="44">
        <v>46295</v>
      </c>
      <c r="X15" s="44"/>
      <c r="Y15" s="44"/>
      <c r="Z15" s="44"/>
      <c r="AA15" s="24" t="s">
        <v>200</v>
      </c>
      <c r="AB15" s="24"/>
      <c r="AC15" s="24" t="s">
        <v>201</v>
      </c>
      <c r="AD15" s="24"/>
      <c r="AE15" s="1" t="s">
        <v>202</v>
      </c>
      <c r="AF15" s="1" t="s">
        <v>203</v>
      </c>
      <c r="AG15" s="1">
        <v>5.14</v>
      </c>
    </row>
    <row r="16" ht="17" spans="1:33">
      <c r="A16" s="1">
        <v>15</v>
      </c>
      <c r="B16" s="42" t="s">
        <v>204</v>
      </c>
      <c r="C16" s="31" t="s">
        <v>205</v>
      </c>
      <c r="D16" s="24" t="s">
        <v>35</v>
      </c>
      <c r="E16" s="42" t="s">
        <v>36</v>
      </c>
      <c r="F16" s="72"/>
      <c r="G16" s="72" t="s">
        <v>154</v>
      </c>
      <c r="H16" s="42" t="s">
        <v>206</v>
      </c>
      <c r="I16" s="27" t="s">
        <v>207</v>
      </c>
      <c r="J16" s="24"/>
      <c r="K16" s="24"/>
      <c r="L16" s="24"/>
      <c r="M16" s="27" t="s">
        <v>43</v>
      </c>
      <c r="N16" s="27"/>
      <c r="O16" s="24"/>
      <c r="P16" s="24"/>
      <c r="Q16" s="24"/>
      <c r="R16" s="24"/>
      <c r="S16" s="24"/>
      <c r="T16" s="35"/>
      <c r="U16" s="35">
        <v>108300</v>
      </c>
      <c r="V16" s="24"/>
      <c r="W16" s="25">
        <v>46314</v>
      </c>
      <c r="X16" s="25"/>
      <c r="Y16" s="25"/>
      <c r="Z16" s="25"/>
      <c r="AA16" s="24"/>
      <c r="AB16" s="24"/>
      <c r="AC16" s="24"/>
      <c r="AD16" s="24"/>
      <c r="AE16" s="1" t="s">
        <v>208</v>
      </c>
      <c r="AF16" s="1" t="s">
        <v>55</v>
      </c>
      <c r="AG16" s="1"/>
    </row>
    <row r="17" ht="51" spans="1:33">
      <c r="A17" s="1">
        <v>16</v>
      </c>
      <c r="B17" s="42" t="s">
        <v>209</v>
      </c>
      <c r="C17" s="43" t="s">
        <v>210</v>
      </c>
      <c r="D17" s="24" t="s">
        <v>35</v>
      </c>
      <c r="E17" s="42" t="s">
        <v>36</v>
      </c>
      <c r="F17" s="72"/>
      <c r="G17" s="72" t="s">
        <v>154</v>
      </c>
      <c r="H17" s="72" t="s">
        <v>211</v>
      </c>
      <c r="I17" s="27" t="s">
        <v>212</v>
      </c>
      <c r="J17" s="24"/>
      <c r="K17" s="24"/>
      <c r="L17" s="24"/>
      <c r="M17" s="27" t="s">
        <v>43</v>
      </c>
      <c r="N17" s="27" t="s">
        <v>62</v>
      </c>
      <c r="O17" s="24"/>
      <c r="P17" s="24"/>
      <c r="Q17" s="24" t="s">
        <v>213</v>
      </c>
      <c r="R17" s="24" t="s">
        <v>48</v>
      </c>
      <c r="S17" s="24"/>
      <c r="T17" s="35" t="s">
        <v>76</v>
      </c>
      <c r="U17" s="35">
        <v>40320</v>
      </c>
      <c r="V17" s="25">
        <v>44187</v>
      </c>
      <c r="W17" s="25">
        <v>46326</v>
      </c>
      <c r="X17" s="25"/>
      <c r="Y17" s="25"/>
      <c r="Z17" s="25"/>
      <c r="AA17" s="24" t="s">
        <v>214</v>
      </c>
      <c r="AB17" s="24"/>
      <c r="AC17" s="24"/>
      <c r="AD17" s="24"/>
      <c r="AE17" s="1" t="s">
        <v>215</v>
      </c>
      <c r="AF17" s="1" t="s">
        <v>203</v>
      </c>
      <c r="AG17" s="1" t="s">
        <v>216</v>
      </c>
    </row>
    <row r="18" ht="36" hidden="1" customHeight="1" spans="1:33">
      <c r="A18" s="1">
        <v>17</v>
      </c>
      <c r="B18" s="30" t="s">
        <v>217</v>
      </c>
      <c r="C18" s="71"/>
      <c r="D18" s="24" t="s">
        <v>57</v>
      </c>
      <c r="E18" s="30"/>
      <c r="F18" s="30"/>
      <c r="G18" s="32" t="s">
        <v>69</v>
      </c>
      <c r="H18" s="30" t="s">
        <v>218</v>
      </c>
      <c r="I18" s="27" t="s">
        <v>219</v>
      </c>
      <c r="J18" s="33"/>
      <c r="K18" s="33"/>
      <c r="L18" s="24" t="s">
        <v>115</v>
      </c>
      <c r="M18" s="34" t="s">
        <v>43</v>
      </c>
      <c r="N18" s="27" t="s">
        <v>73</v>
      </c>
      <c r="O18" s="34"/>
      <c r="P18" s="34"/>
      <c r="Q18" s="27" t="s">
        <v>220</v>
      </c>
      <c r="R18" s="24" t="s">
        <v>75</v>
      </c>
      <c r="S18" s="24"/>
      <c r="T18" s="35"/>
      <c r="U18" s="36">
        <v>55000</v>
      </c>
      <c r="V18" s="25">
        <v>45971</v>
      </c>
      <c r="W18" s="25">
        <v>46335</v>
      </c>
      <c r="X18" s="37"/>
      <c r="Y18" s="37"/>
      <c r="Z18" s="38"/>
      <c r="AA18" s="34"/>
      <c r="AB18" s="27"/>
      <c r="AC18" s="34"/>
      <c r="AD18" s="27"/>
      <c r="AE18" s="1" t="s">
        <v>221</v>
      </c>
      <c r="AF18" s="1" t="s">
        <v>55</v>
      </c>
      <c r="AG18" s="1"/>
    </row>
    <row r="19" ht="46" customHeight="1" spans="1:33">
      <c r="A19" s="1">
        <v>18</v>
      </c>
      <c r="B19" s="42" t="s">
        <v>222</v>
      </c>
      <c r="C19" s="43" t="s">
        <v>223</v>
      </c>
      <c r="D19" s="24" t="s">
        <v>35</v>
      </c>
      <c r="E19" s="42" t="s">
        <v>36</v>
      </c>
      <c r="F19" s="72"/>
      <c r="G19" s="72" t="s">
        <v>81</v>
      </c>
      <c r="H19" s="72" t="s">
        <v>224</v>
      </c>
      <c r="I19" s="27" t="s">
        <v>225</v>
      </c>
      <c r="J19" s="24"/>
      <c r="K19" s="24"/>
      <c r="L19" s="24"/>
      <c r="M19" s="27" t="s">
        <v>43</v>
      </c>
      <c r="N19" s="27" t="s">
        <v>73</v>
      </c>
      <c r="O19" s="27"/>
      <c r="P19" s="27"/>
      <c r="Q19" s="27" t="s">
        <v>226</v>
      </c>
      <c r="R19" s="24" t="s">
        <v>75</v>
      </c>
      <c r="S19" s="27"/>
      <c r="T19" s="73"/>
      <c r="U19" s="73">
        <v>130000</v>
      </c>
      <c r="V19" s="37">
        <v>45978</v>
      </c>
      <c r="W19" s="25">
        <v>46342</v>
      </c>
      <c r="X19" s="37"/>
      <c r="Y19" s="37"/>
      <c r="Z19" s="37"/>
      <c r="AA19" s="27"/>
      <c r="AB19" s="27"/>
      <c r="AC19" s="27"/>
      <c r="AD19" s="74" t="s">
        <v>227</v>
      </c>
      <c r="AE19" s="1" t="s">
        <v>228</v>
      </c>
      <c r="AF19" s="1" t="s">
        <v>55</v>
      </c>
      <c r="AG19" s="1"/>
    </row>
    <row r="20" ht="68" spans="1:33">
      <c r="A20" s="1">
        <v>19</v>
      </c>
      <c r="B20" s="42" t="s">
        <v>229</v>
      </c>
      <c r="C20" s="43" t="s">
        <v>223</v>
      </c>
      <c r="D20" s="24" t="s">
        <v>35</v>
      </c>
      <c r="E20" s="42" t="s">
        <v>36</v>
      </c>
      <c r="F20" s="72"/>
      <c r="G20" s="72" t="s">
        <v>230</v>
      </c>
      <c r="H20" s="42" t="s">
        <v>231</v>
      </c>
      <c r="I20" s="27" t="s">
        <v>232</v>
      </c>
      <c r="J20" s="24"/>
      <c r="K20" s="24"/>
      <c r="L20" s="24"/>
      <c r="M20" s="27" t="s">
        <v>43</v>
      </c>
      <c r="N20" s="27" t="s">
        <v>73</v>
      </c>
      <c r="O20" s="27"/>
      <c r="P20" s="27"/>
      <c r="Q20" s="27" t="s">
        <v>233</v>
      </c>
      <c r="R20" s="24"/>
      <c r="S20" s="27"/>
      <c r="T20" s="73"/>
      <c r="U20" s="73">
        <v>45000</v>
      </c>
      <c r="V20" s="37">
        <v>45981</v>
      </c>
      <c r="W20" s="25">
        <v>46345</v>
      </c>
      <c r="X20" s="37"/>
      <c r="Y20" s="37"/>
      <c r="Z20" s="37"/>
      <c r="AA20" s="27"/>
      <c r="AB20" s="27"/>
      <c r="AC20" s="27"/>
      <c r="AD20" s="75" t="s">
        <v>234</v>
      </c>
      <c r="AE20" s="1" t="s">
        <v>235</v>
      </c>
      <c r="AF20" s="1" t="s">
        <v>55</v>
      </c>
      <c r="AG20" s="1"/>
    </row>
    <row r="21" ht="28" hidden="1" customHeight="1" spans="1:33">
      <c r="A21" s="1">
        <v>20</v>
      </c>
      <c r="B21" s="70" t="s">
        <v>236</v>
      </c>
      <c r="C21" s="43"/>
      <c r="D21" s="24" t="s">
        <v>57</v>
      </c>
      <c r="E21" s="30"/>
      <c r="F21" s="30"/>
      <c r="G21" s="32" t="s">
        <v>230</v>
      </c>
      <c r="H21" s="30" t="s">
        <v>237</v>
      </c>
      <c r="I21" s="27" t="s">
        <v>238</v>
      </c>
      <c r="J21" s="33"/>
      <c r="K21" s="33"/>
      <c r="L21" s="24" t="s">
        <v>157</v>
      </c>
      <c r="M21" s="34" t="s">
        <v>43</v>
      </c>
      <c r="N21" s="27" t="s">
        <v>73</v>
      </c>
      <c r="O21" s="34"/>
      <c r="P21" s="34"/>
      <c r="Q21" s="27" t="s">
        <v>239</v>
      </c>
      <c r="R21" s="24" t="s">
        <v>75</v>
      </c>
      <c r="S21" s="24"/>
      <c r="T21" s="35"/>
      <c r="U21" s="36">
        <v>88000</v>
      </c>
      <c r="V21" s="25">
        <v>45996</v>
      </c>
      <c r="W21" s="25">
        <v>46387</v>
      </c>
      <c r="X21" s="37"/>
      <c r="Y21" s="37"/>
      <c r="Z21" s="38"/>
      <c r="AA21" s="34"/>
      <c r="AB21" s="27"/>
      <c r="AC21" s="34"/>
      <c r="AD21" s="27"/>
      <c r="AE21" s="1" t="s">
        <v>240</v>
      </c>
      <c r="AF21" s="1"/>
      <c r="AG21" s="1"/>
    </row>
    <row r="22" ht="56" customHeight="1" spans="1:33">
      <c r="A22" s="1">
        <v>21</v>
      </c>
      <c r="B22" s="42" t="s">
        <v>241</v>
      </c>
      <c r="C22" s="31" t="s">
        <v>205</v>
      </c>
      <c r="D22" s="24" t="s">
        <v>35</v>
      </c>
      <c r="E22" s="42" t="s">
        <v>36</v>
      </c>
      <c r="F22" s="72"/>
      <c r="G22" s="72" t="s">
        <v>230</v>
      </c>
      <c r="H22" s="72" t="s">
        <v>242</v>
      </c>
      <c r="I22" s="27" t="s">
        <v>243</v>
      </c>
      <c r="J22" s="24"/>
      <c r="K22" s="24"/>
      <c r="L22" s="24"/>
      <c r="M22" s="27" t="s">
        <v>43</v>
      </c>
      <c r="N22" s="27" t="s">
        <v>73</v>
      </c>
      <c r="O22" s="27"/>
      <c r="P22" s="27"/>
      <c r="Q22" s="27" t="s">
        <v>244</v>
      </c>
      <c r="R22" s="24" t="s">
        <v>75</v>
      </c>
      <c r="S22" s="27"/>
      <c r="T22" s="73" t="s">
        <v>76</v>
      </c>
      <c r="U22" s="73">
        <v>45000</v>
      </c>
      <c r="V22" s="37">
        <v>44076</v>
      </c>
      <c r="W22" s="25">
        <v>46387</v>
      </c>
      <c r="X22" s="37"/>
      <c r="Y22" s="37"/>
      <c r="Z22" s="37"/>
      <c r="AA22" s="27" t="s">
        <v>245</v>
      </c>
      <c r="AB22" s="27"/>
      <c r="AC22" s="27" t="s">
        <v>203</v>
      </c>
      <c r="AD22" s="27"/>
      <c r="AE22" s="1" t="s">
        <v>246</v>
      </c>
      <c r="AF22" s="1" t="s">
        <v>55</v>
      </c>
      <c r="AG22" s="1"/>
    </row>
    <row r="23" ht="23" hidden="1" customHeight="1" spans="1:33">
      <c r="A23" s="1">
        <v>22</v>
      </c>
      <c r="B23" s="70" t="s">
        <v>247</v>
      </c>
      <c r="C23" s="71"/>
      <c r="D23" s="24" t="s">
        <v>57</v>
      </c>
      <c r="E23" s="30"/>
      <c r="F23" s="30"/>
      <c r="G23" s="32" t="s">
        <v>112</v>
      </c>
      <c r="H23" s="30" t="s">
        <v>248</v>
      </c>
      <c r="I23" s="27" t="s">
        <v>249</v>
      </c>
      <c r="J23" s="33"/>
      <c r="K23" s="33"/>
      <c r="L23" s="24" t="s">
        <v>157</v>
      </c>
      <c r="M23" s="34" t="s">
        <v>43</v>
      </c>
      <c r="N23" s="27" t="s">
        <v>197</v>
      </c>
      <c r="O23" s="34"/>
      <c r="P23" s="34"/>
      <c r="Q23" s="27" t="s">
        <v>250</v>
      </c>
      <c r="R23" s="24" t="s">
        <v>75</v>
      </c>
      <c r="S23" s="24"/>
      <c r="T23" s="35" t="s">
        <v>118</v>
      </c>
      <c r="U23" s="36" t="s">
        <v>251</v>
      </c>
      <c r="V23" s="25">
        <v>45894</v>
      </c>
      <c r="W23" s="25">
        <v>46685</v>
      </c>
      <c r="X23" s="37"/>
      <c r="Y23" s="37"/>
      <c r="Z23" s="38"/>
      <c r="AA23" s="34"/>
      <c r="AB23" s="27"/>
      <c r="AC23" s="34" t="s">
        <v>203</v>
      </c>
      <c r="AD23" s="27"/>
      <c r="AE23" s="1" t="s">
        <v>252</v>
      </c>
      <c r="AF23" s="1" t="s">
        <v>55</v>
      </c>
      <c r="AG23" s="1"/>
    </row>
    <row r="24" ht="68" spans="1:33">
      <c r="A24" s="1">
        <v>23</v>
      </c>
      <c r="B24" s="42" t="s">
        <v>253</v>
      </c>
      <c r="C24" s="43" t="s">
        <v>254</v>
      </c>
      <c r="D24" s="24" t="s">
        <v>35</v>
      </c>
      <c r="E24" s="42" t="s">
        <v>36</v>
      </c>
      <c r="F24" s="72"/>
      <c r="G24" s="72" t="s">
        <v>230</v>
      </c>
      <c r="H24" s="72" t="s">
        <v>255</v>
      </c>
      <c r="I24" s="27" t="s">
        <v>256</v>
      </c>
      <c r="J24" s="24"/>
      <c r="K24" s="24"/>
      <c r="L24" s="24"/>
      <c r="M24" s="27" t="s">
        <v>43</v>
      </c>
      <c r="N24" s="27" t="s">
        <v>73</v>
      </c>
      <c r="O24" s="27"/>
      <c r="P24" s="27"/>
      <c r="Q24" s="27" t="s">
        <v>257</v>
      </c>
      <c r="R24" s="27"/>
      <c r="S24" s="27"/>
      <c r="T24" s="73" t="s">
        <v>76</v>
      </c>
      <c r="U24" s="73">
        <v>87450</v>
      </c>
      <c r="V24" s="37">
        <v>45536</v>
      </c>
      <c r="W24" s="25">
        <v>47118</v>
      </c>
      <c r="X24" s="37"/>
      <c r="Y24" s="37"/>
      <c r="Z24" s="37"/>
      <c r="AA24" s="27"/>
      <c r="AB24" s="27"/>
      <c r="AC24" s="27"/>
      <c r="AD24" s="27"/>
      <c r="AE24" s="1" t="s">
        <v>258</v>
      </c>
      <c r="AF24" s="1" t="s">
        <v>55</v>
      </c>
      <c r="AG24" s="1"/>
    </row>
    <row r="25" ht="23" hidden="1" customHeight="1" spans="1:33">
      <c r="A25" s="1">
        <v>24</v>
      </c>
      <c r="B25" s="42" t="s">
        <v>259</v>
      </c>
      <c r="C25" s="43"/>
      <c r="D25" s="24" t="s">
        <v>57</v>
      </c>
      <c r="E25" s="42"/>
      <c r="F25" s="42"/>
      <c r="G25" s="76" t="s">
        <v>58</v>
      </c>
      <c r="H25" s="42" t="s">
        <v>260</v>
      </c>
      <c r="I25" s="27" t="s">
        <v>261</v>
      </c>
      <c r="J25" s="33"/>
      <c r="K25" s="33"/>
      <c r="L25" s="24" t="s">
        <v>72</v>
      </c>
      <c r="M25" s="34" t="s">
        <v>179</v>
      </c>
      <c r="N25" s="24" t="s">
        <v>197</v>
      </c>
      <c r="O25" s="34"/>
      <c r="P25" s="34"/>
      <c r="Q25" s="24" t="s">
        <v>262</v>
      </c>
      <c r="R25" s="24" t="s">
        <v>75</v>
      </c>
      <c r="S25" s="24"/>
      <c r="T25" s="35"/>
      <c r="U25" s="36"/>
      <c r="V25" s="25"/>
      <c r="W25" s="25"/>
      <c r="X25" s="25"/>
      <c r="Y25" s="25"/>
      <c r="Z25" s="38"/>
      <c r="AA25" s="34" t="s">
        <v>41</v>
      </c>
      <c r="AB25" s="27" t="s">
        <v>263</v>
      </c>
      <c r="AC25" s="34"/>
      <c r="AD25" s="27"/>
      <c r="AE25" s="8" t="s">
        <v>264</v>
      </c>
      <c r="AF25" s="1" t="s">
        <v>55</v>
      </c>
      <c r="AG25" s="1"/>
    </row>
    <row r="26" hidden="1" spans="1:33">
      <c r="A26" s="13">
        <v>25</v>
      </c>
      <c r="C26"/>
      <c r="D26" s="77"/>
      <c r="U26">
        <f>SUM(U2:U24)</f>
        <v>1886337</v>
      </c>
    </row>
    <row r="27" hidden="1" spans="1:33">
      <c r="A27" s="13">
        <v>26</v>
      </c>
      <c r="C27"/>
      <c r="D27" s="77"/>
    </row>
    <row r="28" hidden="1" spans="1:33">
      <c r="A28" s="13">
        <v>27</v>
      </c>
      <c r="C28"/>
      <c r="D28" s="77"/>
    </row>
    <row r="29" hidden="1" spans="1:33">
      <c r="A29" s="13">
        <v>28</v>
      </c>
      <c r="C29"/>
      <c r="D29" s="77"/>
    </row>
    <row r="30" hidden="1" spans="1:33">
      <c r="A30" s="13">
        <v>29</v>
      </c>
      <c r="C30"/>
      <c r="D30" s="77"/>
    </row>
    <row r="31" hidden="1" spans="1:33">
      <c r="A31" s="13">
        <v>30</v>
      </c>
      <c r="C31"/>
      <c r="D31" s="77"/>
    </row>
    <row r="32" spans="1:33">
      <c r="E32" s="78"/>
      <c r="Q32" s="79"/>
      <c r="R32" s="79"/>
      <c r="S32" s="79"/>
    </row>
    <row r="33" spans="5:5">
      <c r="E33" s="78"/>
    </row>
    <row r="34" spans="5:5">
      <c r="E34" s="78"/>
    </row>
  </sheetData>
  <autoFilter xmlns:etc="http://www.wps.cn/officeDocument/2017/etCustomData" ref="A1:AG31" etc:filterBottomFollowUsedRange="0">
    <filterColumn colId="3">
      <filters>
        <filter val="独立经营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69" zoomScaleNormal="69" workbookViewId="0">
      <pane ySplit="1" topLeftCell="A4" activePane="bottomLeft" state="frozen"/>
      <selection/>
      <selection pane="bottomLeft" activeCell="C8" sqref="C8"/>
    </sheetView>
  </sheetViews>
  <sheetFormatPr defaultColWidth="9.23076923076923" defaultRowHeight="16.8"/>
  <cols>
    <col min="2" max="2" width="23.2307692307692" customWidth="1"/>
    <col min="3" max="3" width="25.6442307692308" customWidth="1"/>
    <col min="4" max="4" width="12.625" customWidth="1"/>
    <col min="5" max="5" width="34.8173076923077" customWidth="1"/>
    <col min="6" max="6" width="10.3076923076923" customWidth="1"/>
    <col min="7" max="7" width="45.6057692307692" customWidth="1"/>
    <col min="8" max="8" width="32.1538461538462" customWidth="1"/>
    <col min="9" max="9" width="23.1057692307692" customWidth="1"/>
    <col min="10" max="10" width="24.1826923076923" customWidth="1"/>
    <col min="12" max="12" width="11.5384615384615" customWidth="1"/>
    <col min="14" max="16" width="15.153846153846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265</v>
      </c>
      <c r="E1" s="1" t="s">
        <v>266</v>
      </c>
      <c r="F1" s="1" t="s">
        <v>3</v>
      </c>
      <c r="G1" s="1" t="s">
        <v>267</v>
      </c>
      <c r="H1" s="1" t="s">
        <v>8</v>
      </c>
      <c r="I1" s="2" t="s">
        <v>268</v>
      </c>
      <c r="J1" s="1" t="s">
        <v>269</v>
      </c>
      <c r="K1" s="1" t="s">
        <v>270</v>
      </c>
      <c r="L1" s="1" t="s">
        <v>17</v>
      </c>
      <c r="M1" s="1" t="s">
        <v>13</v>
      </c>
      <c r="N1" s="1" t="s">
        <v>271</v>
      </c>
      <c r="O1" s="1" t="s">
        <v>272</v>
      </c>
      <c r="P1" s="1" t="s">
        <v>273</v>
      </c>
    </row>
    <row r="2" ht="118" spans="1:16">
      <c r="A2" s="1">
        <v>1</v>
      </c>
      <c r="B2" s="1" t="s">
        <v>274</v>
      </c>
      <c r="C2" s="3" t="s">
        <v>275</v>
      </c>
      <c r="D2" s="4" t="s">
        <v>276</v>
      </c>
      <c r="E2" s="4" t="s">
        <v>277</v>
      </c>
      <c r="F2" s="1" t="s">
        <v>35</v>
      </c>
      <c r="G2" s="1" t="s">
        <v>278</v>
      </c>
      <c r="H2" s="1" t="s">
        <v>279</v>
      </c>
      <c r="I2" s="5" t="s">
        <v>280</v>
      </c>
      <c r="J2" s="6" t="s">
        <v>281</v>
      </c>
      <c r="K2" s="1" t="s">
        <v>282</v>
      </c>
      <c r="L2" s="1"/>
      <c r="M2" s="1"/>
      <c r="N2" s="1"/>
      <c r="O2" s="1"/>
      <c r="P2" s="1"/>
    </row>
    <row r="3" ht="84" spans="1:16">
      <c r="A3" s="1">
        <v>2</v>
      </c>
      <c r="B3" s="1" t="s">
        <v>283</v>
      </c>
      <c r="C3" s="7" t="s">
        <v>284</v>
      </c>
      <c r="D3" s="8" t="s">
        <v>276</v>
      </c>
      <c r="E3" s="8" t="s">
        <v>285</v>
      </c>
      <c r="F3" s="1" t="s">
        <v>35</v>
      </c>
      <c r="G3" s="1" t="s">
        <v>286</v>
      </c>
      <c r="H3" s="1" t="s">
        <v>287</v>
      </c>
      <c r="I3" s="1" t="s">
        <v>288</v>
      </c>
      <c r="J3" s="6" t="s">
        <v>289</v>
      </c>
      <c r="K3" s="1" t="s">
        <v>290</v>
      </c>
      <c r="L3" s="2"/>
      <c r="M3" s="2"/>
      <c r="N3" s="2"/>
      <c r="O3" s="2"/>
      <c r="P3" s="2"/>
    </row>
    <row r="4" ht="135" spans="1:16">
      <c r="A4" s="1">
        <v>3</v>
      </c>
      <c r="B4" s="1" t="s">
        <v>291</v>
      </c>
      <c r="C4" s="9" t="s">
        <v>292</v>
      </c>
      <c r="D4" s="8" t="s">
        <v>293</v>
      </c>
      <c r="E4" s="5" t="s">
        <v>294</v>
      </c>
      <c r="F4" s="1" t="s">
        <v>35</v>
      </c>
      <c r="G4" s="10" t="s">
        <v>295</v>
      </c>
      <c r="H4" s="1" t="s">
        <v>296</v>
      </c>
      <c r="I4" s="1" t="s">
        <v>297</v>
      </c>
      <c r="J4" s="6" t="s">
        <v>298</v>
      </c>
      <c r="K4" s="1" t="s">
        <v>299</v>
      </c>
      <c r="L4" s="2"/>
      <c r="M4" s="2"/>
      <c r="N4" s="2"/>
      <c r="O4" s="2"/>
      <c r="P4" s="2"/>
    </row>
    <row r="5" ht="100" customHeight="1" spans="1:16">
      <c r="A5" s="1">
        <v>4</v>
      </c>
      <c r="B5" s="11" t="s">
        <v>300</v>
      </c>
      <c r="C5" s="12"/>
      <c r="D5" s="1" t="s">
        <v>293</v>
      </c>
      <c r="E5" s="13" t="s">
        <v>301</v>
      </c>
      <c r="F5" s="1" t="s">
        <v>35</v>
      </c>
      <c r="G5" s="5" t="s">
        <v>302</v>
      </c>
      <c r="H5" s="13" t="s">
        <v>287</v>
      </c>
      <c r="I5" s="1" t="s">
        <v>303</v>
      </c>
      <c r="J5" s="8" t="s">
        <v>304</v>
      </c>
      <c r="K5" s="1" t="s">
        <v>282</v>
      </c>
      <c r="L5" s="2"/>
      <c r="M5" s="2"/>
      <c r="N5" s="2"/>
      <c r="O5" s="2"/>
      <c r="P5" s="2"/>
    </row>
    <row r="6" ht="62" customHeight="1" spans="1:16">
      <c r="A6" s="1">
        <v>5</v>
      </c>
      <c r="B6" s="1" t="s">
        <v>305</v>
      </c>
      <c r="C6" s="14"/>
      <c r="D6" s="8" t="s">
        <v>276</v>
      </c>
      <c r="E6" s="8" t="s">
        <v>306</v>
      </c>
      <c r="F6" s="1" t="s">
        <v>35</v>
      </c>
      <c r="G6" s="1" t="s">
        <v>307</v>
      </c>
      <c r="H6" s="1" t="s">
        <v>296</v>
      </c>
      <c r="I6" s="1" t="s">
        <v>308</v>
      </c>
      <c r="J6" s="8" t="s">
        <v>309</v>
      </c>
      <c r="K6" s="1" t="s">
        <v>310</v>
      </c>
      <c r="L6" s="2"/>
      <c r="M6" s="2"/>
      <c r="N6" s="2"/>
      <c r="O6" s="2"/>
      <c r="P6" s="2"/>
    </row>
    <row r="7" ht="155" customHeight="1" spans="1:16">
      <c r="A7" s="1">
        <v>6</v>
      </c>
      <c r="B7" s="1" t="s">
        <v>311</v>
      </c>
      <c r="C7" s="15"/>
      <c r="D7" s="8" t="s">
        <v>312</v>
      </c>
      <c r="E7" s="8" t="s">
        <v>313</v>
      </c>
      <c r="F7" s="1" t="s">
        <v>35</v>
      </c>
      <c r="G7" s="16" t="s">
        <v>314</v>
      </c>
      <c r="H7" s="1" t="s">
        <v>296</v>
      </c>
      <c r="I7" s="5" t="s">
        <v>315</v>
      </c>
      <c r="J7" s="6" t="s">
        <v>316</v>
      </c>
      <c r="K7" s="1" t="s">
        <v>317</v>
      </c>
      <c r="L7" s="2"/>
      <c r="M7" s="2"/>
      <c r="N7" s="2"/>
      <c r="O7" s="2"/>
      <c r="P7" s="2"/>
    </row>
    <row r="8" ht="157" customHeight="1" spans="1:16">
      <c r="A8" s="1">
        <v>7</v>
      </c>
      <c r="B8" s="1" t="s">
        <v>318</v>
      </c>
      <c r="C8" s="17"/>
      <c r="D8" s="8" t="s">
        <v>319</v>
      </c>
      <c r="E8" s="8" t="s">
        <v>320</v>
      </c>
      <c r="F8" s="1" t="s">
        <v>35</v>
      </c>
      <c r="G8" s="5" t="s">
        <v>321</v>
      </c>
      <c r="H8" s="1" t="s">
        <v>322</v>
      </c>
      <c r="I8" s="8" t="s">
        <v>323</v>
      </c>
      <c r="J8" s="8" t="s">
        <v>324</v>
      </c>
      <c r="K8" s="1" t="s">
        <v>325</v>
      </c>
      <c r="L8" s="2"/>
      <c r="M8" s="2"/>
      <c r="N8" s="2"/>
      <c r="O8" s="2"/>
      <c r="P8" s="2"/>
    </row>
    <row r="9" ht="136" customHeight="1" spans="1:16">
      <c r="A9" s="1">
        <v>8</v>
      </c>
      <c r="B9" s="1" t="s">
        <v>326</v>
      </c>
      <c r="C9" s="18"/>
      <c r="D9" s="1" t="s">
        <v>327</v>
      </c>
      <c r="E9" s="1" t="s">
        <v>328</v>
      </c>
      <c r="F9" s="1" t="s">
        <v>57</v>
      </c>
      <c r="G9" s="5" t="s">
        <v>329</v>
      </c>
      <c r="H9" s="1" t="s">
        <v>330</v>
      </c>
      <c r="I9" s="1" t="s">
        <v>331</v>
      </c>
      <c r="J9" s="1" t="s">
        <v>332</v>
      </c>
      <c r="K9" s="1" t="s">
        <v>46</v>
      </c>
      <c r="L9" s="2"/>
      <c r="M9" s="2"/>
      <c r="N9" s="2"/>
      <c r="O9" s="2"/>
      <c r="P9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赵诗怡交接客户</vt:lpstr>
      <vt:lpstr>星星交接客户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zhangfan</dc:creator>
  <cp:lastModifiedBy>张大帆</cp:lastModifiedBy>
  <dcterms:created xsi:type="dcterms:W3CDTF">2026-05-06T04:04:00Z</dcterms:created>
  <dcterms:modified xsi:type="dcterms:W3CDTF">2026-07-10T18:06:24Z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7860D7C068BD9A7F3D35FC697BCEBA20_43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